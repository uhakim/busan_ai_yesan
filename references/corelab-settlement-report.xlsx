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400" windowHeight="18460"/>
  </bookViews>
  <sheets>
    <sheet sheetId="2" name="보고서 표지" state="visible" r:id="rId4"/>
    <sheet sheetId="1" name="사업비 사용 총괄표" state="visible" r:id="rId5"/>
    <sheet sheetId="3" name="세부비목별 집행내역서" state="visible" r:id="rId6"/>
    <sheet sheetId="4" name="세부비목별 집행내역(자동)" state="visible" r:id="rId7"/>
  </sheets>
  <definedNames>
    <definedName name="_xlnm.Print_Area" localSheetId="0">'보고서 표지'!$B2:$K34</definedName>
    <definedName name="_xlnm.Print_Area" localSheetId="1">'사업비 사용 총괄표'!$A1:$N48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9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charset val="129"/>
            <color indexed="81"/>
            <family val="3"/>
            <sz val="13"/>
            <rFont val="돋움"/>
          </rPr>
          <t>이부분만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작성해주세요</t>
        </r>
        <r>
          <rPr>
            <b/>
            <color indexed="81"/>
            <family val="2"/>
            <sz val="13"/>
            <rFont val="Tahoma"/>
          </rPr>
          <t>!!</t>
        </r>
        <r>
          <rPr>
            <b/>
            <charset val="129"/>
            <color indexed="81"/>
            <family val="3"/>
            <sz val="13"/>
            <rFont val="돋움"/>
          </rPr>
          <t>협약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당시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제출한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예산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내역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또는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예산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변경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신청을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한경우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변경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승인을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받은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내용으로</t>
        </r>
        <r>
          <rPr>
            <b/>
            <color indexed="81"/>
            <family val="2"/>
            <sz val="13"/>
            <rFont val="Tahoma"/>
          </rPr>
          <t xml:space="preserve"> </t>
        </r>
        <r>
          <rPr>
            <b/>
            <charset val="129"/>
            <color indexed="81"/>
            <family val="3"/>
            <sz val="13"/>
            <rFont val="돋움"/>
          </rPr>
          <t>작성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K21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 </t>
        </r>
        <r>
          <rPr>
            <charset val="129"/>
            <color indexed="81"/>
            <family val="3"/>
            <sz val="9"/>
            <rFont val="돋움"/>
          </rPr>
          <t>지급결의서상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품의일자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집행일자</t>
        </r>
      </text>
    </comment>
    <comment ref="M21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정확하게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출력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부탁드립니다</t>
        </r>
        <r>
          <rPr>
            <color indexed="81"/>
            <family val="2"/>
            <sz val="9"/>
            <rFont val="Tahoma"/>
          </rPr>
          <t xml:space="preserve">.
</t>
        </r>
        <r>
          <rPr>
            <charset val="129"/>
            <color indexed="81"/>
            <family val="3"/>
            <sz val="9"/>
            <rFont val="돋움"/>
          </rPr>
          <t>잘못된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ㅇㅇㅇ교육청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 xml:space="preserve">미래인재과
올바른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ㅇㅇㅇ교육청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미래인재과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 xml:space="preserve">ㅇㅇ마트
</t>
        </r>
        <r>
          <rPr>
            <color indexed="81"/>
            <family val="2"/>
            <sz val="9"/>
            <rFont val="Tahoma"/>
          </rPr>
          <t xml:space="preserve">* 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>)</t>
        </r>
        <r>
          <rPr>
            <charset val="129"/>
            <color indexed="81"/>
            <family val="3"/>
            <sz val="9"/>
            <rFont val="돋움"/>
          </rPr>
          <t>에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지급명세별도첨부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라고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기입되어있다면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지급명세를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증빙자료로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제출해야합니다</t>
        </r>
        <r>
          <rPr>
            <color indexed="81"/>
            <family val="2"/>
            <sz val="9"/>
            <rFont val="Tahoma"/>
          </rPr>
          <t>.</t>
        </r>
      </text>
    </comment>
    <comment ref="O21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각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지출내역별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해당하는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항목에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대한</t>
        </r>
        <r>
          <rPr>
            <color indexed="81"/>
            <family val="2"/>
            <sz val="9"/>
            <rFont val="Tahoma"/>
          </rPr>
          <t xml:space="preserve"> &lt;</t>
        </r>
        <r>
          <rPr>
            <charset val="129"/>
            <color indexed="81"/>
            <family val="3"/>
            <sz val="9"/>
            <rFont val="돋움"/>
          </rPr>
          <t>증빙번호</t>
        </r>
        <r>
          <rPr>
            <color indexed="81"/>
            <family val="2"/>
            <sz val="9"/>
            <rFont val="Tahoma"/>
          </rPr>
          <t>&gt;</t>
        </r>
        <r>
          <rPr>
            <charset val="129"/>
            <color indexed="81"/>
            <family val="3"/>
            <sz val="9"/>
            <rFont val="돋움"/>
          </rPr>
          <t>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통합지출부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출력본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우측에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수기로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기입해주시기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바랍니다</t>
        </r>
        <r>
          <rPr>
            <color indexed="81"/>
            <family val="2"/>
            <sz val="9"/>
            <rFont val="Tahoma"/>
          </rPr>
          <t>.</t>
        </r>
      </text>
    </comment>
    <comment ref="O125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회의비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다과비의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경우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및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회의록을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증빙으로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함</t>
        </r>
      </text>
    </comment>
    <comment ref="M134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정확하게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출력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부탁드립니다</t>
        </r>
        <r>
          <rPr>
            <color indexed="81"/>
            <family val="2"/>
            <sz val="9"/>
            <rFont val="Tahoma"/>
          </rPr>
          <t xml:space="preserve">.
</t>
        </r>
        <r>
          <rPr>
            <charset val="129"/>
            <color indexed="81"/>
            <family val="3"/>
            <sz val="9"/>
            <rFont val="돋움"/>
          </rPr>
          <t>잘못된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홍길동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등</t>
        </r>
        <r>
          <rPr>
            <color indexed="81"/>
            <family val="2"/>
            <sz val="9"/>
            <rFont val="Tahoma"/>
          </rPr>
          <t xml:space="preserve"> 20</t>
        </r>
        <r>
          <rPr>
            <charset val="129"/>
            <color indexed="81"/>
            <family val="3"/>
            <sz val="9"/>
            <rFont val="돋움"/>
          </rPr>
          <t xml:space="preserve">명
올바른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김철수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안영희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 xml:space="preserve">최소영
</t>
        </r>
        <r>
          <rPr>
            <color indexed="81"/>
            <family val="2"/>
            <sz val="9"/>
            <rFont val="Tahoma"/>
          </rPr>
          <t xml:space="preserve">* 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>)</t>
        </r>
        <r>
          <rPr>
            <charset val="129"/>
            <color indexed="81"/>
            <family val="3"/>
            <sz val="9"/>
            <rFont val="돋움"/>
          </rPr>
          <t>에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지급명세별도첨부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라고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기입되어있다면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지급명세를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증빙자료로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제출해야합니다</t>
        </r>
        <r>
          <rPr>
            <color indexed="81"/>
            <family val="2"/>
            <sz val="9"/>
            <rFont val="Tahoma"/>
          </rPr>
          <t>.</t>
        </r>
      </text>
    </comment>
    <comment ref="O136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국내여비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지급시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및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내부결재문을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증빙으로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함</t>
        </r>
      </text>
    </comment>
    <comment ref="M143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정확하게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출력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부탁드립니다</t>
        </r>
        <r>
          <rPr>
            <color indexed="81"/>
            <family val="2"/>
            <sz val="9"/>
            <rFont val="Tahoma"/>
          </rPr>
          <t xml:space="preserve">.
</t>
        </r>
        <r>
          <rPr>
            <charset val="129"/>
            <color indexed="81"/>
            <family val="3"/>
            <sz val="9"/>
            <rFont val="돋움"/>
          </rPr>
          <t>잘못된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홍길동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등</t>
        </r>
        <r>
          <rPr>
            <color indexed="81"/>
            <family val="2"/>
            <sz val="9"/>
            <rFont val="Tahoma"/>
          </rPr>
          <t xml:space="preserve"> 20</t>
        </r>
        <r>
          <rPr>
            <charset val="129"/>
            <color indexed="81"/>
            <family val="3"/>
            <sz val="9"/>
            <rFont val="돋움"/>
          </rPr>
          <t xml:space="preserve">명
올바른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예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김철수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안영희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 xml:space="preserve">최소영
</t>
        </r>
        <r>
          <rPr>
            <color indexed="81"/>
            <family val="2"/>
            <sz val="9"/>
            <rFont val="Tahoma"/>
          </rPr>
          <t xml:space="preserve">* </t>
        </r>
        <r>
          <rPr>
            <charset val="129"/>
            <color indexed="81"/>
            <family val="3"/>
            <sz val="9"/>
            <rFont val="돋움"/>
          </rPr>
          <t>수령인명</t>
        </r>
        <r>
          <rPr>
            <color indexed="81"/>
            <family val="2"/>
            <sz val="9"/>
            <rFont val="Tahoma"/>
          </rPr>
          <t>(</t>
        </r>
        <r>
          <rPr>
            <charset val="129"/>
            <color indexed="81"/>
            <family val="3"/>
            <sz val="9"/>
            <rFont val="돋움"/>
          </rPr>
          <t>실거래처</t>
        </r>
        <r>
          <rPr>
            <color indexed="81"/>
            <family val="2"/>
            <sz val="9"/>
            <rFont val="Tahoma"/>
          </rPr>
          <t>)</t>
        </r>
        <r>
          <rPr>
            <charset val="129"/>
            <color indexed="81"/>
            <family val="3"/>
            <sz val="9"/>
            <rFont val="돋움"/>
          </rPr>
          <t>에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지급명세별도첨부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라고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기입되어있다면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지급명세를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증빙자료로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제출해야합니다</t>
        </r>
        <r>
          <rPr>
            <color indexed="81"/>
            <family val="2"/>
            <sz val="9"/>
            <rFont val="Tahoma"/>
          </rPr>
          <t>.</t>
        </r>
      </text>
    </comment>
    <comment ref="O145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국외여비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지급시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및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내부결재문을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증빙으로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함</t>
        </r>
      </text>
    </comment>
    <comment ref="O154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charset val="129"/>
            <color indexed="81"/>
            <family val="3"/>
            <sz val="9"/>
            <rFont val="돋움"/>
          </rPr>
          <t>회의비</t>
        </r>
        <r>
          <rPr>
            <color indexed="81"/>
            <family val="2"/>
            <sz val="9"/>
            <rFont val="Tahoma"/>
          </rPr>
          <t xml:space="preserve">, </t>
        </r>
        <r>
          <rPr>
            <charset val="129"/>
            <color indexed="81"/>
            <family val="3"/>
            <sz val="9"/>
            <rFont val="돋움"/>
          </rPr>
          <t>다과비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사용시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사전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내부결재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및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회의록을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증빙으로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제출해야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함</t>
        </r>
      </text>
    </comment>
    <comment ref="K172" authorId="0">
      <text>
        <r>
          <rPr>
            <b/>
            <color indexed="81"/>
            <family val="2"/>
            <sz val="9"/>
            <rFont val="Tahoma"/>
          </rPr>
          <t>T1:</t>
        </r>
        <r>
          <rPr>
            <color indexed="81"/>
            <family val="2"/>
            <sz val="9"/>
            <rFont val="Tahoma"/>
          </rPr>
          <t xml:space="preserve">
(</t>
        </r>
        <r>
          <rPr>
            <charset val="129"/>
            <color indexed="81"/>
            <family val="3"/>
            <sz val="9"/>
            <rFont val="돋움"/>
          </rPr>
          <t>유의사항</t>
        </r>
        <r>
          <rPr>
            <color indexed="81"/>
            <family val="2"/>
            <sz val="9"/>
            <rFont val="Tahoma"/>
          </rPr>
          <t xml:space="preserve">) </t>
        </r>
        <r>
          <rPr>
            <charset val="129"/>
            <color indexed="81"/>
            <family val="3"/>
            <sz val="9"/>
            <rFont val="돋움"/>
          </rPr>
          <t>사업완료</t>
        </r>
        <r>
          <rPr>
            <color indexed="81"/>
            <family val="2"/>
            <sz val="9"/>
            <rFont val="Tahoma"/>
          </rPr>
          <t xml:space="preserve"> 3</t>
        </r>
        <r>
          <rPr>
            <charset val="129"/>
            <color indexed="81"/>
            <family val="3"/>
            <sz val="9"/>
            <rFont val="돋움"/>
          </rPr>
          <t>개월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전까지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자산취득하여야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함</t>
        </r>
      </text>
    </comment>
  </commentList>
</comments>
</file>

<file path=xl/sharedStrings.xml><?xml version="1.0" encoding="utf-8"?>
<sst xmlns="http://schemas.openxmlformats.org/spreadsheetml/2006/main" count="671" uniqueCount="217">
  <si>
    <t>사업비 사용실적 보고서</t>
  </si>
  <si>
    <t>세부사업명</t>
  </si>
  <si>
    <t>미래세대SWAI교육활성화</t>
  </si>
  <si>
    <t>내역 사업명</t>
  </si>
  <si>
    <t>2026 정보 교원 교사연구회 CORE LAB</t>
  </si>
  <si>
    <t>사업기간</t>
  </si>
  <si>
    <t>2026. 5. 28. ~ 2026. 12. 15.</t>
  </si>
  <si>
    <t>총사업비(단위:원)</t>
  </si>
  <si>
    <t>합 계</t>
  </si>
  <si>
    <t>(정보통신진흥)기금</t>
  </si>
  <si>
    <t>자체자금</t>
  </si>
  <si>
    <t>기 타</t>
  </si>
  <si>
    <t>수행기관</t>
  </si>
  <si>
    <t>(사)한국정보교육학회</t>
  </si>
  <si>
    <t>총괄책임자</t>
  </si>
  <si>
    <t>성 명</t>
  </si>
  <si>
    <t>연 락 처</t>
  </si>
  <si>
    <t xml:space="preserve">  </t>
  </si>
  <si>
    <t>전자우편</t>
  </si>
  <si>
    <t>실무책임자</t>
  </si>
  <si>
    <t xml:space="preserve">2026 정보 교원 교사 연구회 CORE LAB 사업에 
대한 사업비 사용실적 보고서를 다음과 같이 제출합니다.</t>
  </si>
  <si>
    <t xml:space="preserve"> 붙임 1. 사업비 사용실적 보고서 1부</t>
  </si>
  <si>
    <t xml:space="preserve">       2. 증빙자료 각 1부.  끝.</t>
  </si>
  <si>
    <t>2026년    월    일</t>
  </si>
  <si>
    <t>사업책임자 :                                (인)</t>
  </si>
  <si>
    <t xml:space="preserve">         수행기관 :                                (인)</t>
  </si>
  <si>
    <t>한국과학창의재단 이사장 귀하</t>
  </si>
  <si>
    <t>&lt;붙임-사업비 사용실적 보고서&gt;</t>
  </si>
  <si>
    <t>000 사업</t>
  </si>
  <si>
    <t>사업수행기관(기업명), 사업책임자(대표자), 연락처</t>
  </si>
  <si>
    <t>정산담당자 연락처(이메일, 전화번호)</t>
  </si>
  <si>
    <t>Ⅰ. 정산총괄표</t>
  </si>
  <si>
    <t>(단위 : 원)</t>
  </si>
  <si>
    <t>연구비예산</t>
  </si>
  <si>
    <t>연구비집행액</t>
  </si>
  <si>
    <t>이자 발생액</t>
  </si>
  <si>
    <t>반납금액(이자+사용잔액)</t>
  </si>
  <si>
    <t>Ⅱ. 사업비 총괄표 및 집행내역</t>
  </si>
  <si>
    <t>구분</t>
  </si>
  <si>
    <t>연구비 집행계획(A)</t>
  </si>
  <si>
    <t>연구비 집행액(B)</t>
  </si>
  <si>
    <t>연구비 잔액(A-B)</t>
  </si>
  <si>
    <t>비율</t>
  </si>
  <si>
    <t>비목</t>
  </si>
  <si>
    <t>세목</t>
  </si>
  <si>
    <t>인건비</t>
  </si>
  <si>
    <t>보수</t>
  </si>
  <si>
    <t>상용임금</t>
  </si>
  <si>
    <t>일용임금</t>
  </si>
  <si>
    <t>운영비</t>
  </si>
  <si>
    <t>일반수용비</t>
  </si>
  <si>
    <t>공공요금 및 제세</t>
  </si>
  <si>
    <t>임차료</t>
  </si>
  <si>
    <t>특금매식비</t>
  </si>
  <si>
    <t>재료비</t>
  </si>
  <si>
    <t>시설 및 장비 유지비</t>
  </si>
  <si>
    <t>차량비 등</t>
  </si>
  <si>
    <t>복리후생비</t>
  </si>
  <si>
    <t>일반용역비</t>
  </si>
  <si>
    <t>관리용역비</t>
  </si>
  <si>
    <t>기타운영비</t>
  </si>
  <si>
    <t>여비</t>
  </si>
  <si>
    <t>국내여비</t>
  </si>
  <si>
    <t>국외여비</t>
  </si>
  <si>
    <t>국외교육여비</t>
  </si>
  <si>
    <t>업무추진비</t>
  </si>
  <si>
    <t>사업추진비</t>
  </si>
  <si>
    <t>기관업무비</t>
  </si>
  <si>
    <t>직무수행경비</t>
  </si>
  <si>
    <t>직책수행경비</t>
  </si>
  <si>
    <t>연구용역비</t>
  </si>
  <si>
    <t>일반연구비</t>
  </si>
  <si>
    <t>유형자산</t>
  </si>
  <si>
    <t>자산취득비</t>
  </si>
  <si>
    <t>민간이전</t>
  </si>
  <si>
    <t>민간경상보조</t>
  </si>
  <si>
    <t>민간자본보조</t>
  </si>
  <si>
    <t>민간위탁사업비</t>
  </si>
  <si>
    <t>총합</t>
  </si>
  <si>
    <t>-</t>
  </si>
  <si>
    <t>* 사업비 예산은 사업비 변경 신청을 통해 재단에서 승인 받은 내역을  기준으로 작성해야함</t>
  </si>
  <si>
    <t>[ 별지 제8호 서식 ] 세부비목별 집행내역서</t>
  </si>
  <si>
    <t>세부비목별 집행내역서</t>
  </si>
  <si>
    <t>1. 인건비</t>
  </si>
  <si>
    <t>1) 인건비</t>
  </si>
  <si>
    <t>(단위:원)</t>
  </si>
  <si>
    <t>순번</t>
  </si>
  <si>
    <t xml:space="preserve">구분
(사용용도-세목/관리목)</t>
  </si>
  <si>
    <t>세부내용(사용목적)</t>
  </si>
  <si>
    <t>직급</t>
  </si>
  <si>
    <t>단위</t>
  </si>
  <si>
    <t xml:space="preserve">기간
(월)</t>
  </si>
  <si>
    <t>단가</t>
  </si>
  <si>
    <t>참여율</t>
  </si>
  <si>
    <t>사용금액</t>
  </si>
  <si>
    <t>품의일자</t>
  </si>
  <si>
    <t>집행일자</t>
  </si>
  <si>
    <t xml:space="preserve">지급처
(상호)</t>
  </si>
  <si>
    <t xml:space="preserve">결제방법
(계좌이체/카드결제)</t>
  </si>
  <si>
    <t>증빙번호</t>
  </si>
  <si>
    <t>인건비 소계</t>
  </si>
  <si>
    <t>2. 운영비</t>
  </si>
  <si>
    <t>1) 일반수용비</t>
  </si>
  <si>
    <t>품명</t>
  </si>
  <si>
    <t>수량</t>
  </si>
  <si>
    <t xml:space="preserve">일반수용비
(사무용품 및 소모성 물품 구입비)</t>
  </si>
  <si>
    <t>수업 실습 용품 구입(센서 및 회로 세트)</t>
  </si>
  <si>
    <t>수업교구구입</t>
  </si>
  <si>
    <t>개</t>
  </si>
  <si>
    <t>2021.05.01</t>
  </si>
  <si>
    <t>홍길동 문구점</t>
  </si>
  <si>
    <t>카드결제</t>
  </si>
  <si>
    <t>1-01</t>
  </si>
  <si>
    <t>1-02</t>
  </si>
  <si>
    <t>1-03</t>
  </si>
  <si>
    <t>일반수용비(사무용품 및 소모성 물품 구입비) 소계</t>
  </si>
  <si>
    <t xml:space="preserve">일반수용비
(인쇄유인비 및 안내홍보물 제작비)</t>
  </si>
  <si>
    <t>수업 활동지 및 자료집 인쇄비</t>
  </si>
  <si>
    <t>인쇄비</t>
  </si>
  <si>
    <t>권</t>
  </si>
  <si>
    <t>ABC 인쇄소</t>
  </si>
  <si>
    <t>계좌이체</t>
  </si>
  <si>
    <t>2-01</t>
  </si>
  <si>
    <t>2-02</t>
  </si>
  <si>
    <t>2-03</t>
  </si>
  <si>
    <t>일반수용비(인쇄유인비 및 안내홍보물 제작비) 소계</t>
  </si>
  <si>
    <t xml:space="preserve">일반수용비
(간행물 등 구입비)</t>
  </si>
  <si>
    <t>간행물</t>
  </si>
  <si>
    <t>3-01</t>
  </si>
  <si>
    <t>3-02</t>
  </si>
  <si>
    <t>3-03</t>
  </si>
  <si>
    <t>일반수용비(간행물 등 구입비) 소계</t>
  </si>
  <si>
    <t xml:space="preserve">일반수용비
(업무위탁대가 및 사례금)</t>
  </si>
  <si>
    <t>4-01</t>
  </si>
  <si>
    <t>4-02</t>
  </si>
  <si>
    <t>4-03</t>
  </si>
  <si>
    <t>일반수용비(업무위탁대가 및 사례금) 소계</t>
  </si>
  <si>
    <t xml:space="preserve">일반수용비
(각종 수수료 및 사용료)</t>
  </si>
  <si>
    <t>5-01</t>
  </si>
  <si>
    <t>5-02</t>
  </si>
  <si>
    <t>5-03</t>
  </si>
  <si>
    <t>일반수용비(각종 수수료 및 사용료) 소계</t>
  </si>
  <si>
    <t xml:space="preserve">일반수용비
(교육훈련비)</t>
  </si>
  <si>
    <t>6-01</t>
  </si>
  <si>
    <t>6-02</t>
  </si>
  <si>
    <t>6-03</t>
  </si>
  <si>
    <t>일반수용비(교육훈련비) 소계</t>
  </si>
  <si>
    <t>일반수용비 소계</t>
  </si>
  <si>
    <t>2) 공공요금 및 제세</t>
  </si>
  <si>
    <t>공공요금 및 제세 소계</t>
  </si>
  <si>
    <t>3) 특근매식비</t>
  </si>
  <si>
    <t>특근매식비</t>
  </si>
  <si>
    <t>특근매식비 소계</t>
  </si>
  <si>
    <t>4) 임차료</t>
  </si>
  <si>
    <t xml:space="preserve">임대차계약에 의한 임차료, 회의장 및 
행사장 임차, 창고이용료</t>
  </si>
  <si>
    <t>임차료 소계</t>
  </si>
  <si>
    <t>5) 재료비</t>
  </si>
  <si>
    <t>시설장비유지비</t>
  </si>
  <si>
    <t>시설장비유지비 소계</t>
  </si>
  <si>
    <t>6) 시설장비유지비</t>
  </si>
  <si>
    <t>7) 유류비 등</t>
  </si>
  <si>
    <t>유류비 등</t>
  </si>
  <si>
    <t>유류비 등 소계</t>
  </si>
  <si>
    <t>7) 복리후생비</t>
  </si>
  <si>
    <t>복리후생비 소계</t>
  </si>
  <si>
    <t>8) 일반용역비</t>
  </si>
  <si>
    <t>일반용역비 소계</t>
  </si>
  <si>
    <t>9) 관리 용역비</t>
  </si>
  <si>
    <t>관리용역비 소계</t>
  </si>
  <si>
    <t>10) 기타운영비</t>
  </si>
  <si>
    <t xml:space="preserve">업무협의 ,간담회 등을 위해 소요되는 다과비
 등 각 부서의 기본적인 운영을 위해 소요되는 경비</t>
  </si>
  <si>
    <t>7-01</t>
  </si>
  <si>
    <t>7-02</t>
  </si>
  <si>
    <t>7-03</t>
  </si>
  <si>
    <t>기타운영비 소계</t>
  </si>
  <si>
    <t>운영비 소계</t>
  </si>
  <si>
    <t>3. 여비</t>
  </si>
  <si>
    <t>1) 국내여비</t>
  </si>
  <si>
    <t>세부내용</t>
  </si>
  <si>
    <t>인원</t>
  </si>
  <si>
    <t xml:space="preserve">* (출장목적) 000을 위한 시내출장 또는 국내출장
* (출장기간) 2023.8.5~8.6
* (출장장소) 서울 00
* (출장자) 홍길동, 홍길동2, 홍길동3</t>
  </si>
  <si>
    <t xml:space="preserve">국내출장 / 
시내출장</t>
  </si>
  <si>
    <t>명</t>
  </si>
  <si>
    <t>2021.07.01.</t>
  </si>
  <si>
    <t>2021.07.03.</t>
  </si>
  <si>
    <t>홍길동, 홍길동2, 홍길동3</t>
  </si>
  <si>
    <t>8-01</t>
  </si>
  <si>
    <t>8-02</t>
  </si>
  <si>
    <t>8-03</t>
  </si>
  <si>
    <t>여비 소계</t>
  </si>
  <si>
    <t>2) 국외여비</t>
  </si>
  <si>
    <t xml:space="preserve">* (출장목적) 000을 위한 국외출장
* (출장기간) 2023.8.5~8.6
* (출장장소) 미국 00
* (출장자) 홍길동, 홍길동2, 홍길동3</t>
  </si>
  <si>
    <t>국외출장</t>
  </si>
  <si>
    <t>4. 업무추진비</t>
  </si>
  <si>
    <t>1) 사업추진비</t>
  </si>
  <si>
    <t>청구일자</t>
  </si>
  <si>
    <t>발의일자</t>
  </si>
  <si>
    <t xml:space="preserve">* (목적) 000 중간 점검을 위한 회의(다과비)
* (일시) 2023.8.5(목) 10:00~14:00
* (장소) 00기관 회의실5
* (참석자) 홍길동, 홍길동2, 홍길동3 등 3명</t>
  </si>
  <si>
    <t>다과비</t>
  </si>
  <si>
    <t>가나다커피</t>
  </si>
  <si>
    <t>9-01</t>
  </si>
  <si>
    <t>9-02</t>
  </si>
  <si>
    <t>9-03</t>
  </si>
  <si>
    <t>업무추진비 소계</t>
  </si>
  <si>
    <t>5. 연구용역비</t>
  </si>
  <si>
    <t>1) 일반연구비</t>
  </si>
  <si>
    <t>협약예산</t>
  </si>
  <si>
    <t>연구용역비 소계</t>
  </si>
  <si>
    <t>6. 유형자산</t>
  </si>
  <si>
    <t>1) 자산취득비</t>
  </si>
  <si>
    <t>10-01</t>
  </si>
  <si>
    <t>10-02</t>
  </si>
  <si>
    <t>10-03</t>
  </si>
  <si>
    <t>유형자산 소계</t>
  </si>
  <si>
    <t>8. 민간이전</t>
  </si>
  <si>
    <t>민간이전 소계</t>
  </si>
  <si>
    <t>집행 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</si>
</sst>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&quot;-&quot;_-;_-@_-"/>
    <numFmt numFmtId="165" formatCode="mm&quot;월&quot; dd&quot;일&quot;"/>
    <numFmt numFmtId="166" formatCode="yyyy&quot;-&quot;mm&quot;-&quot;dd"/>
  </numFmts>
  <fonts count="25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ajor"/>
      <sz val="11"/>
      <name val="맑은 고딕"/>
    </font>
    <font>
      <b/>
      <charset val="129"/>
      <color rgb="FF000000"/>
      <family val="3"/>
      <scheme val="major"/>
      <sz val="20"/>
      <name val="맑은 고딕"/>
    </font>
    <font>
      <charset val="129"/>
      <color rgb="FF000000"/>
      <family val="3"/>
      <scheme val="major"/>
      <sz val="12"/>
      <name val="맑은 고딕"/>
    </font>
    <font>
      <b/>
      <charset val="129"/>
      <color rgb="FF000000"/>
      <family val="3"/>
      <scheme val="major"/>
      <sz val="12"/>
      <name val="맑은 고딕"/>
    </font>
    <font>
      <charset val="129"/>
      <color rgb="FF000000"/>
      <family val="3"/>
      <scheme val="major"/>
      <sz val="16"/>
      <name val="맑은 고딕"/>
    </font>
    <font>
      <b/>
      <charset val="129"/>
      <color rgb="FF000000"/>
      <family val="3"/>
      <scheme val="major"/>
      <sz val="18"/>
      <name val="맑은 고딕"/>
    </font>
    <font>
      <charset val="129"/>
      <color theme="1"/>
      <family val="1"/>
      <sz val="11"/>
      <name val="나눔명조"/>
    </font>
    <font>
      <charset val="129"/>
      <color theme="1"/>
      <family val="3"/>
      <scheme val="major"/>
      <sz val="20"/>
      <name val="맑은 고딕"/>
    </font>
    <font>
      <b/>
      <charset val="129"/>
      <color theme="1"/>
      <family val="3"/>
      <scheme val="major"/>
      <sz val="20"/>
      <name val="맑은 고딕"/>
    </font>
    <font>
      <b/>
      <charset val="129"/>
      <color theme="1"/>
      <family val="3"/>
      <scheme val="major"/>
      <sz val="14"/>
      <name val="맑은 고딕"/>
    </font>
    <font>
      <charset val="129"/>
      <color theme="1"/>
      <family val="3"/>
      <scheme val="major"/>
      <sz val="15"/>
      <name val="맑은 고딕"/>
    </font>
    <font>
      <charset val="129"/>
      <color theme="1"/>
      <family val="3"/>
      <scheme val="major"/>
      <sz val="14"/>
      <name val="맑은 고딕"/>
    </font>
    <font>
      <charset val="129"/>
      <color theme="1"/>
      <family val="3"/>
      <scheme val="major"/>
      <sz val="12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rgb="FF0000FF"/>
      <family val="3"/>
      <scheme val="major"/>
      <sz val="11"/>
      <name val="맑은 고딕"/>
    </font>
    <font>
      <b/>
      <u val="double"/>
      <charset val="129"/>
      <color rgb="FF000000"/>
      <family val="3"/>
      <scheme val="major"/>
      <sz val="20"/>
      <name val="맑은 고딕"/>
    </font>
    <font>
      <charset val="129"/>
      <color rgb="FF000000"/>
      <family val="3"/>
      <scheme val="major"/>
      <sz val="10"/>
      <name val="맑은 고딕"/>
    </font>
    <font>
      <b/>
      <charset val="129"/>
      <color theme="1"/>
      <family val="3"/>
      <scheme val="major"/>
      <sz val="11"/>
      <name val="맑은 고딕"/>
    </font>
    <font>
      <i/>
      <charset val="129"/>
      <color theme="4" tint="-0.249977111117893"/>
      <family val="3"/>
      <scheme val="major"/>
      <sz val="10"/>
      <name val="맑은 고딕"/>
    </font>
    <font>
      <i/>
      <charset val="129"/>
      <color theme="4" tint="-0.249977111117893"/>
      <family val="3"/>
      <scheme val="major"/>
      <sz val="11"/>
      <name val="맑은 고딕"/>
    </font>
    <font>
      <i/>
      <charset val="129"/>
      <color rgb="FF0070C0"/>
      <family val="3"/>
      <scheme val="major"/>
      <sz val="11"/>
      <name val="맑은 고딕"/>
    </font>
    <font>
      <charset val="129"/>
      <family val="3"/>
      <scheme val="major"/>
      <sz val="10"/>
      <name val="맑은 고딕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0E5F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EFEFEF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/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25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25" xfId="0" applyFont="1" applyBorder="1" applyAlignment="1">
      <alignment horizontal="justify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25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1" fillId="0" borderId="30" xfId="0" applyFont="1" applyBorder="1" applyAlignment="1" applyProtection="1">
      <alignment vertical="center"/>
      <protection locked="0"/>
    </xf>
    <xf numFmtId="0" fontId="1" fillId="0" borderId="31" xfId="0" applyFont="1" applyBorder="1" applyAlignment="1" applyProtection="1">
      <alignment vertical="center"/>
      <protection locked="0"/>
    </xf>
    <xf numFmtId="0" fontId="1" fillId="0" borderId="32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" fillId="0" borderId="33" xfId="0" applyFont="1" applyBorder="1" applyAlignment="1" applyProtection="1">
      <alignment vertical="center"/>
      <protection locked="0"/>
    </xf>
    <xf numFmtId="0" fontId="9" fillId="3" borderId="34" xfId="0" applyFont="1" applyFill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4" borderId="35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center" vertical="center"/>
      <protection locked="0"/>
    </xf>
    <xf numFmtId="0" fontId="10" fillId="4" borderId="37" xfId="0" applyFont="1" applyFill="1" applyBorder="1" applyAlignment="1" applyProtection="1">
      <alignment horizontal="center" vertical="center"/>
      <protection locked="0"/>
    </xf>
    <xf numFmtId="0" fontId="10" fillId="4" borderId="38" xfId="0" applyFont="1" applyFill="1" applyBorder="1" applyAlignment="1" applyProtection="1">
      <alignment horizontal="center" vertical="center"/>
      <protection locked="0"/>
    </xf>
    <xf numFmtId="164" fontId="11" fillId="0" borderId="39" xfId="0" applyNumberFormat="1" applyFont="1" applyBorder="1" applyAlignment="1" applyProtection="1">
      <alignment horizontal="center" vertical="center"/>
      <protection locked="0"/>
    </xf>
    <xf numFmtId="164" fontId="11" fillId="0" borderId="40" xfId="0" applyNumberFormat="1" applyFont="1" applyBorder="1" applyAlignment="1" applyProtection="1">
      <alignment horizontal="center" vertical="center"/>
      <protection locked="0"/>
    </xf>
    <xf numFmtId="164" fontId="11" fillId="0" borderId="41" xfId="0" applyNumberFormat="1" applyFont="1" applyBorder="1" applyAlignment="1" applyProtection="1">
      <alignment horizontal="center" vertical="center"/>
      <protection locked="0"/>
    </xf>
    <xf numFmtId="164" fontId="11" fillId="0" borderId="42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0" fontId="10" fillId="4" borderId="43" xfId="0" applyFont="1" applyFill="1" applyBorder="1" applyAlignment="1" applyProtection="1">
      <alignment horizontal="center" vertical="center"/>
      <protection locked="0"/>
    </xf>
    <xf numFmtId="0" fontId="10" fillId="4" borderId="44" xfId="0" applyFont="1" applyFill="1" applyBorder="1" applyAlignment="1" applyProtection="1">
      <alignment horizontal="center" vertical="center"/>
      <protection locked="0"/>
    </xf>
    <xf numFmtId="0" fontId="10" fillId="4" borderId="45" xfId="0" applyFont="1" applyFill="1" applyBorder="1" applyAlignment="1" applyProtection="1">
      <alignment horizontal="center" vertical="center"/>
      <protection locked="0"/>
    </xf>
    <xf numFmtId="0" fontId="10" fillId="4" borderId="46" xfId="0" applyFont="1" applyFill="1" applyBorder="1" applyAlignment="1" applyProtection="1">
      <alignment horizontal="center" vertical="center"/>
      <protection locked="0"/>
    </xf>
    <xf numFmtId="0" fontId="10" fillId="4" borderId="47" xfId="0" applyFont="1" applyFill="1" applyBorder="1" applyAlignment="1" applyProtection="1">
      <alignment horizontal="center" vertical="center"/>
      <protection locked="0"/>
    </xf>
    <xf numFmtId="0" fontId="10" fillId="4" borderId="48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51" xfId="0" applyFont="1" applyFill="1" applyBorder="1" applyAlignment="1" applyProtection="1">
      <alignment horizontal="center" vertical="center"/>
      <protection locked="0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52" xfId="0" applyFont="1" applyFill="1" applyBorder="1" applyAlignment="1" applyProtection="1">
      <alignment horizontal="center" vertical="center"/>
      <protection locked="0"/>
    </xf>
    <xf numFmtId="0" fontId="10" fillId="4" borderId="22" xfId="0" applyFont="1" applyFill="1" applyBorder="1" applyAlignment="1" applyProtection="1">
      <alignment horizontal="center" vertical="center"/>
      <protection locked="0"/>
    </xf>
    <xf numFmtId="0" fontId="10" fillId="4" borderId="25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2" fillId="5" borderId="35" xfId="0" applyFont="1" applyFill="1" applyBorder="1" applyAlignment="1" applyProtection="1">
      <alignment horizontal="center" vertical="center"/>
      <protection locked="0"/>
    </xf>
    <xf numFmtId="0" fontId="12" fillId="5" borderId="53" xfId="0" applyFont="1" applyFill="1" applyBorder="1" applyAlignment="1" applyProtection="1">
      <alignment horizontal="center" vertical="center"/>
      <protection locked="0"/>
    </xf>
    <xf numFmtId="0" fontId="12" fillId="5" borderId="45" xfId="0" applyFont="1" applyFill="1" applyBorder="1" applyAlignment="1" applyProtection="1">
      <alignment horizontal="center" vertical="center"/>
      <protection locked="0"/>
    </xf>
    <xf numFmtId="164" fontId="13" fillId="0" borderId="43" xfId="0" applyNumberFormat="1" applyFont="1" applyBorder="1" applyAlignment="1" applyProtection="1">
      <alignment horizontal="center" vertical="center"/>
      <protection locked="0"/>
    </xf>
    <xf numFmtId="164" fontId="13" fillId="0" borderId="45" xfId="0" applyNumberFormat="1" applyFont="1" applyBorder="1" applyAlignment="1" applyProtection="1">
      <alignment horizontal="center" vertical="center"/>
      <protection locked="0"/>
    </xf>
    <xf numFmtId="164" fontId="13" fillId="0" borderId="44" xfId="0" applyNumberFormat="1" applyFont="1" applyBorder="1" applyAlignment="1">
      <alignment horizontal="center" vertical="center"/>
    </xf>
    <xf numFmtId="164" fontId="13" fillId="0" borderId="38" xfId="0" applyNumberFormat="1" applyFont="1" applyBorder="1" applyAlignment="1">
      <alignment horizontal="center" vertical="center"/>
    </xf>
    <xf numFmtId="164" fontId="13" fillId="0" borderId="53" xfId="0" applyNumberFormat="1" applyFont="1" applyBorder="1" applyAlignment="1">
      <alignment horizontal="center" vertical="center"/>
    </xf>
    <xf numFmtId="9" fontId="13" fillId="0" borderId="36" xfId="0" applyNumberFormat="1" applyFont="1" applyBorder="1" applyAlignment="1">
      <alignment horizontal="center" vertical="center"/>
    </xf>
    <xf numFmtId="9" fontId="13" fillId="0" borderId="37" xfId="0" applyNumberFormat="1" applyFont="1" applyBorder="1" applyAlignment="1">
      <alignment horizontal="center" vertical="center"/>
    </xf>
    <xf numFmtId="0" fontId="12" fillId="5" borderId="54" xfId="0" applyFont="1" applyFill="1" applyBorder="1" applyAlignment="1" applyProtection="1">
      <alignment horizontal="center" vertical="center"/>
      <protection locked="0"/>
    </xf>
    <xf numFmtId="0" fontId="12" fillId="5" borderId="55" xfId="0" applyFont="1" applyFill="1" applyBorder="1" applyAlignment="1" applyProtection="1">
      <alignment horizontal="center" vertical="center"/>
      <protection locked="0"/>
    </xf>
    <xf numFmtId="0" fontId="12" fillId="5" borderId="56" xfId="0" applyFont="1" applyFill="1" applyBorder="1" applyAlignment="1" applyProtection="1">
      <alignment horizontal="center" vertical="center"/>
      <protection locked="0"/>
    </xf>
    <xf numFmtId="164" fontId="13" fillId="0" borderId="57" xfId="0" applyNumberFormat="1" applyFont="1" applyBorder="1" applyAlignment="1" applyProtection="1">
      <alignment horizontal="center" vertical="center"/>
      <protection locked="0"/>
    </xf>
    <xf numFmtId="164" fontId="13" fillId="0" borderId="56" xfId="0" applyNumberFormat="1" applyFont="1" applyBorder="1" applyAlignment="1" applyProtection="1">
      <alignment horizontal="center" vertical="center"/>
      <protection locked="0"/>
    </xf>
    <xf numFmtId="164" fontId="13" fillId="0" borderId="58" xfId="0" applyNumberFormat="1" applyFont="1" applyBorder="1" applyAlignment="1">
      <alignment horizontal="center" vertical="center"/>
    </xf>
    <xf numFmtId="164" fontId="13" fillId="0" borderId="59" xfId="0" applyNumberFormat="1" applyFont="1" applyBorder="1" applyAlignment="1">
      <alignment horizontal="center" vertical="center"/>
    </xf>
    <xf numFmtId="164" fontId="13" fillId="0" borderId="55" xfId="0" applyNumberFormat="1" applyFont="1" applyBorder="1" applyAlignment="1">
      <alignment horizontal="center" vertical="center"/>
    </xf>
    <xf numFmtId="9" fontId="13" fillId="0" borderId="34" xfId="0" applyNumberFormat="1" applyFont="1" applyBorder="1" applyAlignment="1">
      <alignment horizontal="center" vertical="center"/>
    </xf>
    <xf numFmtId="9" fontId="13" fillId="0" borderId="60" xfId="0" applyNumberFormat="1" applyFont="1" applyBorder="1" applyAlignment="1">
      <alignment horizontal="center" vertical="center"/>
    </xf>
    <xf numFmtId="0" fontId="12" fillId="5" borderId="39" xfId="0" applyFont="1" applyFill="1" applyBorder="1" applyAlignment="1" applyProtection="1">
      <alignment horizontal="center" vertical="center"/>
      <protection locked="0"/>
    </xf>
    <xf numFmtId="0" fontId="12" fillId="5" borderId="61" xfId="0" applyFont="1" applyFill="1" applyBorder="1" applyAlignment="1" applyProtection="1">
      <alignment horizontal="center" vertical="center"/>
      <protection locked="0"/>
    </xf>
    <xf numFmtId="0" fontId="12" fillId="5" borderId="62" xfId="0" applyFont="1" applyFill="1" applyBorder="1" applyAlignment="1" applyProtection="1">
      <alignment horizontal="center" vertical="center"/>
      <protection locked="0"/>
    </xf>
    <xf numFmtId="164" fontId="13" fillId="0" borderId="63" xfId="0" applyNumberFormat="1" applyFont="1" applyBorder="1" applyAlignment="1" applyProtection="1">
      <alignment horizontal="center" vertical="center"/>
      <protection locked="0"/>
    </xf>
    <xf numFmtId="164" fontId="13" fillId="0" borderId="62" xfId="0" applyNumberFormat="1" applyFont="1" applyBorder="1" applyAlignment="1" applyProtection="1">
      <alignment horizontal="center" vertical="center"/>
      <protection locked="0"/>
    </xf>
    <xf numFmtId="164" fontId="13" fillId="0" borderId="64" xfId="0" applyNumberFormat="1" applyFont="1" applyBorder="1" applyAlignment="1">
      <alignment horizontal="center" vertical="center"/>
    </xf>
    <xf numFmtId="164" fontId="13" fillId="0" borderId="42" xfId="0" applyNumberFormat="1" applyFont="1" applyBorder="1" applyAlignment="1">
      <alignment horizontal="center" vertical="center"/>
    </xf>
    <xf numFmtId="164" fontId="13" fillId="0" borderId="61" xfId="0" applyNumberFormat="1" applyFont="1" applyBorder="1" applyAlignment="1">
      <alignment horizontal="center" vertical="center"/>
    </xf>
    <xf numFmtId="9" fontId="13" fillId="0" borderId="40" xfId="0" applyNumberFormat="1" applyFont="1" applyBorder="1" applyAlignment="1">
      <alignment horizontal="center" vertical="center"/>
    </xf>
    <xf numFmtId="9" fontId="13" fillId="0" borderId="41" xfId="0" applyNumberFormat="1" applyFont="1" applyBorder="1" applyAlignment="1">
      <alignment horizontal="center" vertical="center"/>
    </xf>
    <xf numFmtId="164" fontId="13" fillId="0" borderId="57" xfId="0" applyNumberFormat="1" applyFont="1" applyBorder="1" applyAlignment="1">
      <alignment horizontal="center" vertical="center"/>
    </xf>
    <xf numFmtId="164" fontId="1" fillId="0" borderId="57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2" fillId="5" borderId="65" xfId="0" applyFont="1" applyFill="1" applyBorder="1" applyAlignment="1" applyProtection="1">
      <alignment horizontal="center" vertical="center"/>
      <protection locked="0"/>
    </xf>
    <xf numFmtId="0" fontId="12" fillId="5" borderId="66" xfId="0" applyFont="1" applyFill="1" applyBorder="1" applyAlignment="1" applyProtection="1">
      <alignment horizontal="center" vertical="center"/>
      <protection locked="0"/>
    </xf>
    <xf numFmtId="0" fontId="12" fillId="5" borderId="28" xfId="0" applyFont="1" applyFill="1" applyBorder="1" applyAlignment="1" applyProtection="1">
      <alignment horizontal="center" vertical="center"/>
      <protection locked="0"/>
    </xf>
    <xf numFmtId="164" fontId="13" fillId="0" borderId="26" xfId="0" applyNumberFormat="1" applyFont="1" applyBorder="1" applyAlignment="1" applyProtection="1">
      <alignment horizontal="center" vertical="center"/>
      <protection locked="0"/>
    </xf>
    <xf numFmtId="164" fontId="13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27" xfId="0" applyNumberFormat="1" applyFont="1" applyBorder="1" applyAlignment="1">
      <alignment horizontal="center" vertical="center"/>
    </xf>
    <xf numFmtId="164" fontId="13" fillId="0" borderId="67" xfId="0" applyNumberFormat="1" applyFont="1" applyBorder="1" applyAlignment="1">
      <alignment horizontal="center" vertical="center"/>
    </xf>
    <xf numFmtId="164" fontId="13" fillId="0" borderId="66" xfId="0" applyNumberFormat="1" applyFont="1" applyBorder="1" applyAlignment="1">
      <alignment horizontal="center" vertical="center"/>
    </xf>
    <xf numFmtId="9" fontId="13" fillId="0" borderId="68" xfId="0" applyNumberFormat="1" applyFont="1" applyBorder="1" applyAlignment="1">
      <alignment horizontal="center" vertical="center"/>
    </xf>
    <xf numFmtId="9" fontId="13" fillId="0" borderId="69" xfId="0" applyNumberFormat="1" applyFont="1" applyBorder="1" applyAlignment="1">
      <alignment horizontal="center" vertical="center"/>
    </xf>
    <xf numFmtId="0" fontId="12" fillId="5" borderId="70" xfId="0" applyFont="1" applyFill="1" applyBorder="1" applyAlignment="1" applyProtection="1">
      <alignment horizontal="center" vertical="center"/>
      <protection locked="0"/>
    </xf>
    <xf numFmtId="0" fontId="12" fillId="5" borderId="71" xfId="0" applyFont="1" applyFill="1" applyBorder="1" applyAlignment="1" applyProtection="1">
      <alignment horizontal="center" vertical="center"/>
      <protection locked="0"/>
    </xf>
    <xf numFmtId="0" fontId="12" fillId="5" borderId="72" xfId="0" applyFont="1" applyFill="1" applyBorder="1" applyAlignment="1" applyProtection="1">
      <alignment horizontal="center" vertical="center"/>
      <protection locked="0"/>
    </xf>
    <xf numFmtId="164" fontId="13" fillId="0" borderId="73" xfId="0" applyNumberFormat="1" applyFont="1" applyBorder="1" applyAlignment="1" applyProtection="1">
      <alignment horizontal="center" vertical="center"/>
      <protection locked="0"/>
    </xf>
    <xf numFmtId="164" fontId="13" fillId="0" borderId="72" xfId="0" applyNumberFormat="1" applyFont="1" applyBorder="1" applyAlignment="1" applyProtection="1">
      <alignment horizontal="center" vertical="center"/>
      <protection locked="0"/>
    </xf>
    <xf numFmtId="164" fontId="13" fillId="0" borderId="74" xfId="0" applyNumberFormat="1" applyFont="1" applyBorder="1" applyAlignment="1">
      <alignment horizontal="center" vertical="center"/>
    </xf>
    <xf numFmtId="164" fontId="13" fillId="0" borderId="75" xfId="0" applyNumberFormat="1" applyFont="1" applyBorder="1" applyAlignment="1">
      <alignment horizontal="center" vertical="center"/>
    </xf>
    <xf numFmtId="164" fontId="13" fillId="0" borderId="71" xfId="0" applyNumberFormat="1" applyFont="1" applyBorder="1" applyAlignment="1">
      <alignment horizontal="center" vertical="center"/>
    </xf>
    <xf numFmtId="9" fontId="13" fillId="0" borderId="76" xfId="0" applyNumberFormat="1" applyFont="1" applyBorder="1" applyAlignment="1">
      <alignment horizontal="center" vertical="center"/>
    </xf>
    <xf numFmtId="9" fontId="13" fillId="0" borderId="77" xfId="0" applyNumberFormat="1" applyFont="1" applyBorder="1" applyAlignment="1">
      <alignment horizontal="center" vertical="center"/>
    </xf>
    <xf numFmtId="0" fontId="10" fillId="4" borderId="65" xfId="0" applyFont="1" applyFill="1" applyBorder="1" applyAlignment="1" applyProtection="1">
      <alignment horizontal="center" vertical="center"/>
      <protection locked="0"/>
    </xf>
    <xf numFmtId="0" fontId="10" fillId="4" borderId="68" xfId="0" applyFont="1" applyFill="1" applyBorder="1" applyAlignment="1" applyProtection="1">
      <alignment horizontal="center" vertical="center"/>
      <protection locked="0"/>
    </xf>
    <xf numFmtId="0" fontId="10" fillId="4" borderId="69" xfId="0" applyFont="1" applyFill="1" applyBorder="1" applyAlignment="1" applyProtection="1">
      <alignment horizontal="center" vertical="center"/>
      <protection locked="0"/>
    </xf>
    <xf numFmtId="164" fontId="13" fillId="4" borderId="26" xfId="0" applyNumberFormat="1" applyFont="1" applyFill="1" applyBorder="1" applyAlignment="1" applyProtection="1">
      <alignment horizontal="center" vertical="center"/>
      <protection locked="0"/>
    </xf>
    <xf numFmtId="164" fontId="13" fillId="4" borderId="28" xfId="0" applyNumberFormat="1" applyFont="1" applyFill="1" applyBorder="1" applyAlignment="1" applyProtection="1">
      <alignment horizontal="center" vertical="center"/>
      <protection locked="0"/>
    </xf>
    <xf numFmtId="164" fontId="13" fillId="4" borderId="27" xfId="0" applyNumberFormat="1" applyFont="1" applyFill="1" applyBorder="1" applyAlignment="1">
      <alignment horizontal="center" vertical="center"/>
    </xf>
    <xf numFmtId="164" fontId="13" fillId="4" borderId="67" xfId="0" applyNumberFormat="1" applyFont="1" applyFill="1" applyBorder="1" applyAlignment="1">
      <alignment horizontal="center" vertical="center"/>
    </xf>
    <xf numFmtId="164" fontId="13" fillId="4" borderId="66" xfId="0" applyNumberFormat="1" applyFont="1" applyFill="1" applyBorder="1" applyAlignment="1">
      <alignment horizontal="center" vertical="center"/>
    </xf>
    <xf numFmtId="9" fontId="13" fillId="4" borderId="66" xfId="0" applyNumberFormat="1" applyFont="1" applyFill="1" applyBorder="1" applyAlignment="1">
      <alignment horizontal="center" vertical="center"/>
    </xf>
    <xf numFmtId="9" fontId="13" fillId="4" borderId="27" xfId="0" applyNumberFormat="1" applyFont="1" applyFill="1" applyBorder="1" applyAlignment="1">
      <alignment horizontal="center" vertical="center"/>
    </xf>
    <xf numFmtId="9" fontId="13" fillId="4" borderId="28" xfId="0" applyNumberFormat="1" applyFont="1" applyFill="1" applyBorder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" fillId="0" borderId="78" xfId="0" applyFont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1" fillId="0" borderId="79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0" fillId="0" borderId="30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8" fillId="6" borderId="34" xfId="0" applyFont="1" applyFill="1" applyBorder="1" applyAlignment="1" applyProtection="1">
      <alignment horizontal="center" vertical="center" wrapText="1"/>
      <protection locked="0"/>
    </xf>
    <xf numFmtId="0" fontId="18" fillId="6" borderId="80" xfId="0" applyFont="1" applyFill="1" applyBorder="1" applyAlignment="1" applyProtection="1">
      <alignment horizontal="center" vertical="center" wrapText="1"/>
      <protection locked="0"/>
    </xf>
    <xf numFmtId="0" fontId="18" fillId="6" borderId="80" xfId="0" applyFont="1" applyFill="1" applyBorder="1" applyAlignment="1">
      <alignment horizontal="center" vertical="center" wrapText="1"/>
    </xf>
    <xf numFmtId="0" fontId="18" fillId="6" borderId="34" xfId="0" applyFont="1" applyFill="1" applyBorder="1" applyAlignment="1" applyProtection="1">
      <alignment horizontal="center" vertical="center"/>
      <protection locked="0"/>
    </xf>
    <xf numFmtId="0" fontId="18" fillId="6" borderId="81" xfId="0" applyFont="1" applyFill="1" applyBorder="1" applyAlignment="1" applyProtection="1">
      <alignment horizontal="center" vertical="center" wrapText="1"/>
      <protection locked="0"/>
    </xf>
    <xf numFmtId="0" fontId="18" fillId="6" borderId="81" xfId="0" applyFont="1" applyFill="1" applyBorder="1" applyAlignment="1">
      <alignment horizontal="center" vertical="center" wrapText="1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5" borderId="34" xfId="0" applyFont="1" applyFill="1" applyBorder="1" applyAlignment="1" applyProtection="1">
      <alignment horizontal="center" vertical="center"/>
      <protection locked="0"/>
    </xf>
    <xf numFmtId="164" fontId="1" fillId="5" borderId="34" xfId="0" applyNumberFormat="1" applyFont="1" applyFill="1" applyBorder="1" applyAlignment="1">
      <alignment horizontal="right" vertical="center"/>
    </xf>
    <xf numFmtId="0" fontId="1" fillId="0" borderId="34" xfId="0" applyFont="1" applyBorder="1" applyAlignment="1" applyProtection="1">
      <alignment vertical="center"/>
      <protection locked="0"/>
    </xf>
    <xf numFmtId="165" fontId="1" fillId="0" borderId="34" xfId="0" applyNumberFormat="1" applyFont="1" applyBorder="1" applyAlignment="1" applyProtection="1">
      <alignment horizontal="center" vertical="center"/>
      <protection locked="0"/>
    </xf>
    <xf numFmtId="0" fontId="18" fillId="3" borderId="55" xfId="0" applyFont="1" applyFill="1" applyBorder="1" applyAlignment="1" applyProtection="1">
      <alignment horizontal="center" vertical="center"/>
      <protection locked="0"/>
    </xf>
    <xf numFmtId="0" fontId="18" fillId="3" borderId="58" xfId="0" applyFont="1" applyFill="1" applyBorder="1" applyAlignment="1" applyProtection="1">
      <alignment horizontal="center" vertical="center"/>
      <protection locked="0"/>
    </xf>
    <xf numFmtId="0" fontId="18" fillId="3" borderId="59" xfId="0" applyFont="1" applyFill="1" applyBorder="1" applyAlignment="1" applyProtection="1">
      <alignment horizontal="center" vertical="center"/>
      <protection locked="0"/>
    </xf>
    <xf numFmtId="164" fontId="1" fillId="3" borderId="34" xfId="0" applyNumberFormat="1" applyFont="1" applyFill="1" applyBorder="1" applyAlignment="1">
      <alignment vertical="center"/>
    </xf>
    <xf numFmtId="0" fontId="18" fillId="6" borderId="29" xfId="0" applyFont="1" applyFill="1" applyBorder="1" applyAlignment="1" applyProtection="1">
      <alignment horizontal="center" vertical="center" wrapText="1"/>
      <protection locked="0"/>
    </xf>
    <xf numFmtId="0" fontId="18" fillId="6" borderId="31" xfId="0" applyFont="1" applyFill="1" applyBorder="1" applyAlignment="1" applyProtection="1">
      <alignment horizontal="center" vertical="center" wrapText="1"/>
      <protection locked="0"/>
    </xf>
    <xf numFmtId="0" fontId="18" fillId="6" borderId="78" xfId="0" applyFont="1" applyFill="1" applyBorder="1" applyAlignment="1" applyProtection="1">
      <alignment horizontal="center" vertical="center" wrapText="1"/>
      <protection locked="0"/>
    </xf>
    <xf numFmtId="0" fontId="18" fillId="6" borderId="79" xfId="0" applyFont="1" applyFill="1" applyBorder="1" applyAlignment="1" applyProtection="1">
      <alignment horizontal="center" vertical="center" wrapText="1"/>
      <protection locked="0"/>
    </xf>
    <xf numFmtId="0" fontId="1" fillId="5" borderId="34" xfId="0" applyFont="1" applyFill="1" applyBorder="1" applyAlignment="1" applyProtection="1">
      <alignment horizontal="center" vertical="center" wrapText="1"/>
      <protection locked="0"/>
    </xf>
    <xf numFmtId="0" fontId="19" fillId="0" borderId="34" xfId="0" applyFont="1" applyBorder="1" applyAlignment="1" applyProtection="1">
      <alignment horizontal="left" vertical="center" wrapText="1" shrinkToFit="1"/>
      <protection locked="0"/>
    </xf>
    <xf numFmtId="0" fontId="20" fillId="0" borderId="55" xfId="0" applyFont="1" applyBorder="1" applyAlignment="1" applyProtection="1">
      <alignment horizontal="center" vertical="center"/>
      <protection locked="0"/>
    </xf>
    <xf numFmtId="0" fontId="20" fillId="0" borderId="59" xfId="0" applyFont="1" applyBorder="1" applyAlignment="1" applyProtection="1">
      <alignment horizontal="center" vertical="center"/>
      <protection locked="0"/>
    </xf>
    <xf numFmtId="0" fontId="20" fillId="0" borderId="34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 wrapText="1"/>
      <protection locked="0"/>
    </xf>
    <xf numFmtId="164" fontId="19" fillId="0" borderId="34" xfId="0" applyNumberFormat="1" applyFont="1" applyBorder="1" applyAlignment="1" applyProtection="1">
      <alignment vertical="center" wrapText="1"/>
      <protection locked="0"/>
    </xf>
    <xf numFmtId="164" fontId="20" fillId="5" borderId="34" xfId="0" applyNumberFormat="1" applyFont="1" applyFill="1" applyBorder="1" applyAlignment="1">
      <alignment horizontal="right" vertical="center"/>
    </xf>
    <xf numFmtId="166" fontId="19" fillId="0" borderId="34" xfId="0" applyNumberFormat="1" applyFont="1" applyBorder="1" applyAlignment="1" applyProtection="1">
      <alignment horizontal="center" vertical="center" wrapText="1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21" fillId="0" borderId="34" xfId="0" applyFont="1" applyBorder="1" applyAlignment="1" applyProtection="1">
      <alignment horizontal="center" vertical="center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59" xfId="0" applyFont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/>
      <protection locked="0"/>
    </xf>
    <xf numFmtId="0" fontId="1" fillId="0" borderId="55" xfId="0" applyFont="1" applyBorder="1" applyAlignment="1" applyProtection="1">
      <alignment vertical="center"/>
      <protection locked="0"/>
    </xf>
    <xf numFmtId="0" fontId="18" fillId="5" borderId="55" xfId="0" applyFont="1" applyFill="1" applyBorder="1" applyAlignment="1" applyProtection="1">
      <alignment horizontal="center" vertical="center"/>
      <protection locked="0"/>
    </xf>
    <xf numFmtId="0" fontId="18" fillId="5" borderId="58" xfId="0" applyFont="1" applyFill="1" applyBorder="1" applyAlignment="1" applyProtection="1">
      <alignment horizontal="center" vertical="center"/>
      <protection locked="0"/>
    </xf>
    <xf numFmtId="0" fontId="18" fillId="5" borderId="59" xfId="0" applyFont="1" applyFill="1" applyBorder="1" applyAlignment="1" applyProtection="1">
      <alignment horizontal="center" vertical="center"/>
      <protection locked="0"/>
    </xf>
    <xf numFmtId="0" fontId="19" fillId="0" borderId="55" xfId="0" applyFont="1" applyBorder="1" applyAlignment="1" applyProtection="1">
      <alignment horizontal="center" vertical="center" wrapText="1"/>
      <protection locked="0"/>
    </xf>
    <xf numFmtId="0" fontId="19" fillId="0" borderId="59" xfId="0" applyFont="1" applyBorder="1" applyAlignment="1" applyProtection="1">
      <alignment horizontal="center" vertical="center" wrapText="1"/>
      <protection locked="0"/>
    </xf>
    <xf numFmtId="3" fontId="19" fillId="0" borderId="34" xfId="0" applyNumberFormat="1" applyFont="1" applyBorder="1" applyAlignment="1" applyProtection="1">
      <alignment horizontal="center" vertical="center"/>
      <protection locked="0"/>
    </xf>
    <xf numFmtId="0" fontId="18" fillId="4" borderId="55" xfId="0" applyFont="1" applyFill="1" applyBorder="1" applyAlignment="1" applyProtection="1">
      <alignment horizontal="center" vertical="center"/>
      <protection locked="0"/>
    </xf>
    <xf numFmtId="0" fontId="18" fillId="4" borderId="58" xfId="0" applyFont="1" applyFill="1" applyBorder="1" applyAlignment="1" applyProtection="1">
      <alignment horizontal="center" vertical="center"/>
      <protection locked="0"/>
    </xf>
    <xf numFmtId="0" fontId="18" fillId="4" borderId="59" xfId="0" applyFont="1" applyFill="1" applyBorder="1" applyAlignment="1" applyProtection="1">
      <alignment horizontal="center" vertical="center"/>
      <protection locked="0"/>
    </xf>
    <xf numFmtId="164" fontId="1" fillId="4" borderId="34" xfId="0" applyNumberFormat="1" applyFont="1" applyFill="1" applyBorder="1" applyAlignment="1">
      <alignment horizontal="right" vertical="center"/>
    </xf>
    <xf numFmtId="0" fontId="18" fillId="6" borderId="80" xfId="0" applyFont="1" applyFill="1" applyBorder="1" applyAlignment="1" applyProtection="1">
      <alignment horizontal="center" vertical="center"/>
      <protection locked="0"/>
    </xf>
    <xf numFmtId="0" fontId="18" fillId="6" borderId="81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4" fontId="1" fillId="5" borderId="34" xfId="0" applyNumberFormat="1" applyFont="1" applyFill="1" applyBorder="1" applyAlignment="1" applyProtection="1">
      <alignment horizontal="right" vertical="center"/>
      <protection locked="0"/>
    </xf>
    <xf numFmtId="164" fontId="1" fillId="4" borderId="34" xfId="0" applyNumberFormat="1" applyFont="1" applyFill="1" applyBorder="1" applyAlignment="1" applyProtection="1">
      <alignment horizontal="right" vertical="center"/>
      <protection locked="0"/>
    </xf>
    <xf numFmtId="0" fontId="19" fillId="0" borderId="55" xfId="0" applyFont="1" applyBorder="1" applyAlignment="1" applyProtection="1">
      <alignment horizontal="center" vertical="center" wrapText="1" shrinkToFit="1"/>
      <protection locked="0"/>
    </xf>
    <xf numFmtId="0" fontId="19" fillId="0" borderId="59" xfId="0" applyFont="1" applyBorder="1" applyAlignment="1" applyProtection="1">
      <alignment horizontal="center" vertical="center" wrapText="1" shrinkToFit="1"/>
      <protection locked="0"/>
    </xf>
    <xf numFmtId="0" fontId="19" fillId="0" borderId="34" xfId="0" applyFont="1" applyBorder="1" applyAlignment="1" applyProtection="1">
      <alignment horizontal="center" vertical="center" shrinkToFit="1"/>
      <protection locked="0"/>
    </xf>
    <xf numFmtId="164" fontId="19" fillId="0" borderId="34" xfId="0" applyNumberFormat="1" applyFont="1" applyBorder="1" applyAlignment="1" applyProtection="1">
      <alignment vertical="center" shrinkToFit="1"/>
      <protection locked="0"/>
    </xf>
    <xf numFmtId="166" fontId="19" fillId="0" borderId="34" xfId="0" applyNumberFormat="1" applyFont="1" applyBorder="1" applyAlignment="1" applyProtection="1">
      <alignment horizontal="center" vertical="center" shrinkToFit="1"/>
      <protection locked="0"/>
    </xf>
    <xf numFmtId="0" fontId="19" fillId="0" borderId="55" xfId="0" applyFont="1" applyBorder="1" applyAlignment="1" applyProtection="1">
      <alignment horizontal="center" vertical="center" shrinkToFit="1"/>
      <protection locked="0"/>
    </xf>
    <xf numFmtId="0" fontId="19" fillId="0" borderId="59" xfId="0" applyFont="1" applyBorder="1" applyAlignment="1" applyProtection="1">
      <alignment horizontal="center" vertical="center" shrinkToFit="1"/>
      <protection locked="0"/>
    </xf>
    <xf numFmtId="0" fontId="18" fillId="6" borderId="30" xfId="0" applyFont="1" applyFill="1" applyBorder="1" applyAlignment="1" applyProtection="1">
      <alignment horizontal="center" vertical="center" wrapText="1"/>
      <protection locked="0"/>
    </xf>
    <xf numFmtId="0" fontId="18" fillId="6" borderId="12" xfId="0" applyFont="1" applyFill="1" applyBorder="1" applyAlignment="1" applyProtection="1">
      <alignment horizontal="center" vertical="center" wrapText="1"/>
      <protection locked="0"/>
    </xf>
    <xf numFmtId="0" fontId="19" fillId="0" borderId="34" xfId="0" applyFont="1" applyBorder="1" applyAlignment="1" applyProtection="1">
      <alignment horizontal="left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58" xfId="0" applyFont="1" applyBorder="1" applyAlignment="1" applyProtection="1">
      <alignment horizontal="center" vertical="center"/>
      <protection locked="0"/>
    </xf>
    <xf numFmtId="0" fontId="19" fillId="0" borderId="59" xfId="0" applyFont="1" applyBorder="1" applyAlignment="1" applyProtection="1">
      <alignment horizontal="center" vertical="center"/>
      <protection locked="0"/>
    </xf>
    <xf numFmtId="0" fontId="1" fillId="0" borderId="58" xfId="0" applyFont="1" applyBorder="1" applyAlignment="1" applyProtection="1">
      <alignment horizontal="center" vertical="center"/>
      <protection locked="0"/>
    </xf>
    <xf numFmtId="164" fontId="1" fillId="3" borderId="3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>
      <alignment horizontal="center"/>
    </xf>
    <xf numFmtId="0" fontId="24" fillId="7" borderId="82" xfId="0" applyFont="1" applyFill="1" applyBorder="1"/>
    <xf numFmtId="0" fontId="24" fillId="7" borderId="82" xfId="0" applyFont="1" applyFill="1" applyBorder="1" applyAlignment="1">
      <alignment horizontal="center"/>
    </xf>
    <xf numFmtId="3" fontId="24" fillId="7" borderId="8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workbookViewId="0" zoomScale="70" zoomScaleNormal="70">
      <selection activeCell="I21" sqref="I21"/>
    </sheetView>
  </sheetViews>
  <sheetFormatPr defaultRowHeight="17" outlineLevelRow="0" outlineLevelCol="0" x14ac:dyDescent="0" defaultColWidth="9" customHeight="1"/>
  <cols>
    <col min="1" max="1" width="7.33203125" style="52" customWidth="1"/>
    <col min="2" max="2" width="21.6640625" style="52" customWidth="1"/>
    <col min="3" max="3" width="18.83203125" style="52" customWidth="1"/>
    <col min="4" max="4" width="15" style="52" customWidth="1"/>
    <col min="5" max="5" width="19.6640625" style="52" customWidth="1"/>
    <col min="6" max="6" width="17.33203125" style="52" customWidth="1"/>
    <col min="7" max="7" width="18" style="52" customWidth="1"/>
    <col min="8" max="8" width="16.6640625" style="52" customWidth="1"/>
    <col min="9" max="9" width="19.1640625" style="52" customWidth="1"/>
    <col min="10" max="10" width="19.5" style="52" customWidth="1"/>
    <col min="11" max="11" width="16.6640625" style="52" customWidth="1"/>
    <col min="12" max="12" width="17.33203125" style="52" customWidth="1"/>
    <col min="13" max="13" width="16.83203125" style="52" customWidth="1"/>
    <col min="14" max="14" width="9" style="52" customWidth="1"/>
    <col min="15" max="16384" width="9" style="53" customWidth="1"/>
  </cols>
  <sheetData>
    <row r="1" spans="1:14" x14ac:dyDescent="0.25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</row>
    <row r="2" ht="30" customHeight="1" spans="1:14" x14ac:dyDescent="0.25">
      <c r="A2" s="57"/>
      <c r="B2" s="58" t="s">
        <v>27</v>
      </c>
      <c r="N2" s="59"/>
    </row>
    <row r="3" spans="1:14" x14ac:dyDescent="0.25">
      <c r="A3" s="57"/>
      <c r="N3" s="59"/>
    </row>
    <row r="4" ht="39" customHeight="1" spans="1:14" x14ac:dyDescent="0.25">
      <c r="A4" s="57"/>
      <c r="B4" s="60" t="s">
        <v>28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59"/>
    </row>
    <row r="5" ht="41.25" customHeight="1" spans="1:14" x14ac:dyDescent="0.25">
      <c r="A5" s="57"/>
      <c r="B5" s="61" t="s">
        <v>29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9"/>
    </row>
    <row r="6" ht="41.25" customHeight="1" spans="1:14" x14ac:dyDescent="0.25">
      <c r="A6" s="57"/>
      <c r="B6" s="61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59"/>
    </row>
    <row r="7" spans="1:14" x14ac:dyDescent="0.25">
      <c r="A7" s="57"/>
      <c r="N7" s="59"/>
    </row>
    <row r="8" spans="1:14" x14ac:dyDescent="0.25">
      <c r="A8" s="57"/>
      <c r="N8" s="59"/>
    </row>
    <row r="9" spans="1:14" x14ac:dyDescent="0.25">
      <c r="A9" s="57"/>
      <c r="N9" s="59"/>
    </row>
    <row r="10" spans="1:14" x14ac:dyDescent="0.25">
      <c r="A10" s="57"/>
      <c r="N10" s="59"/>
    </row>
    <row r="11" ht="30" customHeight="1" spans="1:14" x14ac:dyDescent="0.25">
      <c r="A11" s="57"/>
      <c r="B11" s="62" t="s">
        <v>31</v>
      </c>
      <c r="N11" s="59"/>
    </row>
    <row r="12" ht="20.25" customHeight="1" spans="1:14" x14ac:dyDescent="0.25">
      <c r="A12" s="57"/>
      <c r="M12" s="63" t="s">
        <v>32</v>
      </c>
      <c r="N12" s="59"/>
    </row>
    <row r="13" ht="27" customHeight="1" spans="1:14" x14ac:dyDescent="0.25">
      <c r="A13" s="57"/>
      <c r="B13" s="64" t="s">
        <v>33</v>
      </c>
      <c r="C13" s="65"/>
      <c r="D13" s="66"/>
      <c r="E13" s="64" t="s">
        <v>34</v>
      </c>
      <c r="F13" s="65"/>
      <c r="G13" s="66"/>
      <c r="H13" s="64" t="s">
        <v>35</v>
      </c>
      <c r="I13" s="65"/>
      <c r="J13" s="66"/>
      <c r="K13" s="67" t="s">
        <v>36</v>
      </c>
      <c r="L13" s="65"/>
      <c r="M13" s="66"/>
      <c r="N13" s="59"/>
    </row>
    <row r="14" ht="36" customHeight="1" spans="1:14" x14ac:dyDescent="0.25">
      <c r="A14" s="57"/>
      <c r="B14" s="68"/>
      <c r="C14" s="69"/>
      <c r="D14" s="70"/>
      <c r="E14" s="68">
        <v>0</v>
      </c>
      <c r="F14" s="69"/>
      <c r="G14" s="70"/>
      <c r="H14" s="68">
        <v>0</v>
      </c>
      <c r="I14" s="69"/>
      <c r="J14" s="70"/>
      <c r="K14" s="71">
        <f>B14-E14+H14</f>
        <v>0</v>
      </c>
      <c r="L14" s="69"/>
      <c r="M14" s="70"/>
      <c r="N14" s="59"/>
    </row>
    <row r="15" spans="1:14" x14ac:dyDescent="0.25">
      <c r="A15" s="57"/>
      <c r="C15" s="72"/>
      <c r="N15" s="59"/>
    </row>
    <row r="16" spans="1:14" x14ac:dyDescent="0.25">
      <c r="A16" s="57"/>
      <c r="C16" s="72"/>
      <c r="N16" s="59"/>
    </row>
    <row r="17" ht="30" customHeight="1" spans="1:14" x14ac:dyDescent="0.25">
      <c r="A17" s="57"/>
      <c r="B17" s="62" t="s">
        <v>37</v>
      </c>
      <c r="N17" s="59"/>
    </row>
    <row r="18" ht="21" customHeight="1" spans="1:14" x14ac:dyDescent="0.25">
      <c r="A18" s="57"/>
      <c r="M18" s="63" t="s">
        <v>32</v>
      </c>
      <c r="N18" s="59"/>
    </row>
    <row r="19" ht="29.25" customHeight="1" spans="1:14" x14ac:dyDescent="0.25">
      <c r="A19" s="57"/>
      <c r="B19" s="73" t="s">
        <v>38</v>
      </c>
      <c r="C19" s="74"/>
      <c r="D19" s="75"/>
      <c r="E19" s="76" t="s">
        <v>39</v>
      </c>
      <c r="F19" s="77"/>
      <c r="G19" s="78" t="s">
        <v>40</v>
      </c>
      <c r="H19" s="79"/>
      <c r="I19" s="80" t="s">
        <v>41</v>
      </c>
      <c r="J19" s="79"/>
      <c r="K19" s="80" t="s">
        <v>42</v>
      </c>
      <c r="L19" s="78"/>
      <c r="M19" s="81"/>
      <c r="N19" s="59"/>
    </row>
    <row r="20" ht="24.75" customHeight="1" spans="1:14" x14ac:dyDescent="0.25">
      <c r="A20" s="57"/>
      <c r="B20" s="82" t="s">
        <v>43</v>
      </c>
      <c r="C20" s="83" t="s">
        <v>44</v>
      </c>
      <c r="D20" s="84"/>
      <c r="E20" s="85"/>
      <c r="F20" s="86"/>
      <c r="G20" s="87"/>
      <c r="H20" s="88"/>
      <c r="I20" s="89"/>
      <c r="J20" s="88"/>
      <c r="K20" s="89"/>
      <c r="L20" s="87"/>
      <c r="M20" s="90"/>
      <c r="N20" s="59"/>
    </row>
    <row r="21" ht="30" customHeight="1" spans="1:14" x14ac:dyDescent="0.25">
      <c r="A21" s="57"/>
      <c r="B21" s="91" t="s">
        <v>45</v>
      </c>
      <c r="C21" s="92" t="s">
        <v>46</v>
      </c>
      <c r="D21" s="93"/>
      <c r="E21" s="94"/>
      <c r="F21" s="95"/>
      <c r="G21" s="96">
        <f>'세부비목별 집행내역서'!J13</f>
        <v>0</v>
      </c>
      <c r="H21" s="97"/>
      <c r="I21" s="98">
        <f>E21-G21</f>
        <v>0</v>
      </c>
      <c r="J21" s="97"/>
      <c r="K21" s="99" t="e">
        <f>E21/E46</f>
        <v>#DIV/0!</v>
      </c>
      <c r="L21" s="99"/>
      <c r="M21" s="100"/>
      <c r="N21" s="59"/>
    </row>
    <row r="22" ht="30" customHeight="1" spans="1:14" x14ac:dyDescent="0.25">
      <c r="A22" s="57"/>
      <c r="B22" s="101"/>
      <c r="C22" s="102" t="s">
        <v>47</v>
      </c>
      <c r="D22" s="103"/>
      <c r="E22" s="104"/>
      <c r="F22" s="105"/>
      <c r="G22" s="106">
        <f>'세부비목별 집행내역서'!J14</f>
        <v>0</v>
      </c>
      <c r="H22" s="107"/>
      <c r="I22" s="108">
        <f t="shared" ref="I22:I45" si="0">E22-G22</f>
        <v>0</v>
      </c>
      <c r="J22" s="107"/>
      <c r="K22" s="109" t="e">
        <f>E22/E46</f>
        <v>#DIV/0!</v>
      </c>
      <c r="L22" s="109"/>
      <c r="M22" s="110"/>
      <c r="N22" s="59"/>
    </row>
    <row r="23" ht="30" customHeight="1" spans="1:14" x14ac:dyDescent="0.25">
      <c r="A23" s="57"/>
      <c r="B23" s="111"/>
      <c r="C23" s="112" t="s">
        <v>48</v>
      </c>
      <c r="D23" s="113"/>
      <c r="E23" s="114"/>
      <c r="F23" s="115"/>
      <c r="G23" s="116">
        <f>'세부비목별 집행내역서'!J15</f>
        <v>0</v>
      </c>
      <c r="H23" s="117"/>
      <c r="I23" s="118">
        <f t="shared" si="0"/>
        <v>0</v>
      </c>
      <c r="J23" s="117"/>
      <c r="K23" s="119" t="e">
        <f>E23/E46</f>
        <v>#DIV/0!</v>
      </c>
      <c r="L23" s="119"/>
      <c r="M23" s="120"/>
      <c r="N23" s="59"/>
    </row>
    <row r="24" ht="30" customHeight="1" spans="1:14" x14ac:dyDescent="0.25">
      <c r="A24" s="57"/>
      <c r="B24" s="91" t="s">
        <v>49</v>
      </c>
      <c r="C24" s="92" t="s">
        <v>50</v>
      </c>
      <c r="D24" s="93"/>
      <c r="E24" s="94">
        <v>1010000</v>
      </c>
      <c r="F24" s="95"/>
      <c r="G24" s="96">
        <v>0</v>
      </c>
      <c r="H24" s="97"/>
      <c r="I24" s="98">
        <v>1010000</v>
      </c>
      <c r="J24" s="97"/>
      <c r="K24" s="99">
        <v>0</v>
      </c>
      <c r="L24" s="99"/>
      <c r="M24" s="100"/>
      <c r="N24" s="59"/>
    </row>
    <row r="25" ht="30" customHeight="1" spans="1:14" x14ac:dyDescent="0.25">
      <c r="A25" s="57"/>
      <c r="B25" s="101"/>
      <c r="C25" s="102" t="s">
        <v>51</v>
      </c>
      <c r="D25" s="103"/>
      <c r="E25" s="104">
        <v>5530000</v>
      </c>
      <c r="F25" s="105"/>
      <c r="G25" s="106">
        <v>0</v>
      </c>
      <c r="H25" s="107"/>
      <c r="I25" s="108">
        <v>5530000</v>
      </c>
      <c r="J25" s="107"/>
      <c r="K25" s="109">
        <v>0</v>
      </c>
      <c r="L25" s="109"/>
      <c r="M25" s="110"/>
      <c r="N25" s="59"/>
    </row>
    <row r="26" ht="30" customHeight="1" spans="1:14" x14ac:dyDescent="0.25">
      <c r="A26" s="57"/>
      <c r="B26" s="101"/>
      <c r="C26" s="102" t="s">
        <v>52</v>
      </c>
      <c r="D26" s="103"/>
      <c r="E26" s="104">
        <v>0</v>
      </c>
      <c r="F26" s="105"/>
      <c r="G26" s="106">
        <v>0</v>
      </c>
      <c r="H26" s="107"/>
      <c r="I26" s="108">
        <v>0</v>
      </c>
      <c r="J26" s="107"/>
      <c r="K26" s="109">
        <v>0</v>
      </c>
      <c r="L26" s="109"/>
      <c r="M26" s="110"/>
      <c r="N26" s="59"/>
    </row>
    <row r="27" ht="30" customHeight="1" spans="1:14" x14ac:dyDescent="0.25">
      <c r="A27" s="57"/>
      <c r="B27" s="101"/>
      <c r="C27" s="102" t="s">
        <v>53</v>
      </c>
      <c r="D27" s="103"/>
      <c r="E27" s="104">
        <v>0</v>
      </c>
      <c r="F27" s="105"/>
      <c r="G27" s="121">
        <v>0</v>
      </c>
      <c r="H27" s="107"/>
      <c r="I27" s="108">
        <v>0</v>
      </c>
      <c r="J27" s="107"/>
      <c r="K27" s="109">
        <v>0</v>
      </c>
      <c r="L27" s="109"/>
      <c r="M27" s="110"/>
      <c r="N27" s="59"/>
    </row>
    <row r="28" ht="30" customHeight="1" spans="1:14" x14ac:dyDescent="0.25">
      <c r="A28" s="57"/>
      <c r="B28" s="101"/>
      <c r="C28" s="102" t="s">
        <v>54</v>
      </c>
      <c r="D28" s="103"/>
      <c r="E28" s="104"/>
      <c r="F28" s="105"/>
      <c r="G28" s="122">
        <f>'세부비목별 집행내역서'!J79</f>
        <v>0</v>
      </c>
      <c r="H28" s="123"/>
      <c r="I28" s="108">
        <f>E28-G28</f>
        <v>0</v>
      </c>
      <c r="J28" s="107"/>
      <c r="K28" s="109" t="e">
        <f>E28/E46</f>
        <v>#DIV/0!</v>
      </c>
      <c r="L28" s="109"/>
      <c r="M28" s="110"/>
      <c r="N28" s="59"/>
    </row>
    <row r="29" ht="30" customHeight="1" spans="1:14" x14ac:dyDescent="0.25">
      <c r="A29" s="57"/>
      <c r="B29" s="101"/>
      <c r="C29" s="102" t="s">
        <v>55</v>
      </c>
      <c r="D29" s="103"/>
      <c r="E29" s="104"/>
      <c r="F29" s="105"/>
      <c r="G29" s="106">
        <f>'세부비목별 집행내역서'!J87</f>
        <v>0</v>
      </c>
      <c r="H29" s="107"/>
      <c r="I29" s="108">
        <f t="shared" si="0"/>
        <v>0</v>
      </c>
      <c r="J29" s="107"/>
      <c r="K29" s="109" t="e">
        <f>E29/E46</f>
        <v>#DIV/0!</v>
      </c>
      <c r="L29" s="109"/>
      <c r="M29" s="110"/>
      <c r="N29" s="59"/>
    </row>
    <row r="30" ht="30" customHeight="1" spans="1:14" x14ac:dyDescent="0.25">
      <c r="A30" s="57"/>
      <c r="B30" s="101"/>
      <c r="C30" s="102" t="s">
        <v>56</v>
      </c>
      <c r="D30" s="103"/>
      <c r="E30" s="104"/>
      <c r="F30" s="105"/>
      <c r="G30" s="106">
        <f>'세부비목별 집행내역서'!J95</f>
        <v>0</v>
      </c>
      <c r="H30" s="107"/>
      <c r="I30" s="108">
        <f t="shared" si="0"/>
        <v>0</v>
      </c>
      <c r="J30" s="107"/>
      <c r="K30" s="109" t="e">
        <f>E30/E46</f>
        <v>#DIV/0!</v>
      </c>
      <c r="L30" s="109"/>
      <c r="M30" s="110"/>
      <c r="N30" s="59"/>
    </row>
    <row r="31" ht="30" customHeight="1" spans="1:14" x14ac:dyDescent="0.25">
      <c r="A31" s="57"/>
      <c r="B31" s="101"/>
      <c r="C31" s="102" t="s">
        <v>57</v>
      </c>
      <c r="D31" s="103"/>
      <c r="E31" s="104"/>
      <c r="F31" s="105"/>
      <c r="G31" s="106">
        <f>'세부비목별 집행내역서'!J103</f>
        <v>0</v>
      </c>
      <c r="H31" s="107"/>
      <c r="I31" s="108">
        <f t="shared" si="0"/>
        <v>0</v>
      </c>
      <c r="J31" s="107"/>
      <c r="K31" s="109" t="e">
        <f>E31/E46</f>
        <v>#DIV/0!</v>
      </c>
      <c r="L31" s="109"/>
      <c r="M31" s="110"/>
      <c r="N31" s="59"/>
    </row>
    <row r="32" ht="30" customHeight="1" spans="1:14" x14ac:dyDescent="0.25">
      <c r="A32" s="57"/>
      <c r="B32" s="101"/>
      <c r="C32" s="102" t="s">
        <v>58</v>
      </c>
      <c r="D32" s="103"/>
      <c r="E32" s="104"/>
      <c r="F32" s="105"/>
      <c r="G32" s="106">
        <f>'세부비목별 집행내역서'!J111</f>
        <v>0</v>
      </c>
      <c r="H32" s="107"/>
      <c r="I32" s="108">
        <f t="shared" si="0"/>
        <v>0</v>
      </c>
      <c r="J32" s="107"/>
      <c r="K32" s="109" t="e">
        <f>E32/E46</f>
        <v>#DIV/0!</v>
      </c>
      <c r="L32" s="109"/>
      <c r="M32" s="110"/>
      <c r="N32" s="59"/>
    </row>
    <row r="33" ht="30" customHeight="1" spans="1:14" x14ac:dyDescent="0.25">
      <c r="A33" s="57"/>
      <c r="B33" s="101"/>
      <c r="C33" s="102" t="s">
        <v>59</v>
      </c>
      <c r="D33" s="103"/>
      <c r="E33" s="104"/>
      <c r="F33" s="105"/>
      <c r="G33" s="106">
        <f>'세부비목별 집행내역서'!J119</f>
        <v>0</v>
      </c>
      <c r="H33" s="107"/>
      <c r="I33" s="108">
        <f t="shared" si="0"/>
        <v>0</v>
      </c>
      <c r="J33" s="107"/>
      <c r="K33" s="109" t="e">
        <f>E33/E46</f>
        <v>#DIV/0!</v>
      </c>
      <c r="L33" s="109"/>
      <c r="M33" s="110"/>
      <c r="N33" s="59"/>
    </row>
    <row r="34" ht="30" customHeight="1" spans="1:14" x14ac:dyDescent="0.25">
      <c r="A34" s="57"/>
      <c r="B34" s="111"/>
      <c r="C34" s="112" t="s">
        <v>60</v>
      </c>
      <c r="D34" s="113"/>
      <c r="E34" s="114">
        <v>160000</v>
      </c>
      <c r="F34" s="115"/>
      <c r="G34" s="116">
        <v>0</v>
      </c>
      <c r="H34" s="117"/>
      <c r="I34" s="118">
        <v>160000</v>
      </c>
      <c r="J34" s="117"/>
      <c r="K34" s="119">
        <v>0</v>
      </c>
      <c r="L34" s="119"/>
      <c r="M34" s="120"/>
      <c r="N34" s="59"/>
    </row>
    <row r="35" ht="30" customHeight="1" spans="1:14" x14ac:dyDescent="0.25">
      <c r="A35" s="57"/>
      <c r="B35" s="91" t="s">
        <v>61</v>
      </c>
      <c r="C35" s="92" t="s">
        <v>62</v>
      </c>
      <c r="D35" s="93"/>
      <c r="E35" s="94">
        <v>800000</v>
      </c>
      <c r="F35" s="95"/>
      <c r="G35" s="96">
        <v>0</v>
      </c>
      <c r="H35" s="97"/>
      <c r="I35" s="98">
        <v>800000</v>
      </c>
      <c r="J35" s="97"/>
      <c r="K35" s="99">
        <v>0</v>
      </c>
      <c r="L35" s="99"/>
      <c r="M35" s="100"/>
      <c r="N35" s="59"/>
    </row>
    <row r="36" ht="30" customHeight="1" spans="1:14" x14ac:dyDescent="0.25">
      <c r="A36" s="57"/>
      <c r="B36" s="101"/>
      <c r="C36" s="102" t="s">
        <v>63</v>
      </c>
      <c r="D36" s="103"/>
      <c r="E36" s="104"/>
      <c r="F36" s="105"/>
      <c r="G36" s="121">
        <v>0</v>
      </c>
      <c r="H36" s="107"/>
      <c r="I36" s="108">
        <f t="shared" si="0"/>
        <v>0</v>
      </c>
      <c r="J36" s="107"/>
      <c r="K36" s="109" t="e">
        <f>E36/E46</f>
        <v>#DIV/0!</v>
      </c>
      <c r="L36" s="109"/>
      <c r="M36" s="110"/>
      <c r="N36" s="59"/>
    </row>
    <row r="37" ht="30" customHeight="1" spans="1:14" x14ac:dyDescent="0.25">
      <c r="A37" s="57"/>
      <c r="B37" s="111"/>
      <c r="C37" s="112" t="s">
        <v>64</v>
      </c>
      <c r="D37" s="113"/>
      <c r="E37" s="114"/>
      <c r="F37" s="115"/>
      <c r="G37" s="116">
        <v>0</v>
      </c>
      <c r="H37" s="117"/>
      <c r="I37" s="118">
        <f t="shared" si="0"/>
        <v>0</v>
      </c>
      <c r="J37" s="117"/>
      <c r="K37" s="119" t="e">
        <f>E37/E46</f>
        <v>#DIV/0!</v>
      </c>
      <c r="L37" s="119"/>
      <c r="M37" s="120"/>
      <c r="N37" s="59"/>
    </row>
    <row r="38" ht="30" customHeight="1" spans="1:14" x14ac:dyDescent="0.25">
      <c r="A38" s="57"/>
      <c r="B38" s="91" t="s">
        <v>65</v>
      </c>
      <c r="C38" s="92" t="s">
        <v>66</v>
      </c>
      <c r="D38" s="93"/>
      <c r="E38" s="94">
        <v>500000</v>
      </c>
      <c r="F38" s="95"/>
      <c r="G38" s="96">
        <v>0</v>
      </c>
      <c r="H38" s="97"/>
      <c r="I38" s="98">
        <v>500000</v>
      </c>
      <c r="J38" s="97"/>
      <c r="K38" s="99">
        <v>0</v>
      </c>
      <c r="L38" s="99"/>
      <c r="M38" s="100"/>
      <c r="N38" s="59"/>
    </row>
    <row r="39" ht="30" customHeight="1" spans="1:14" x14ac:dyDescent="0.25">
      <c r="A39" s="57"/>
      <c r="B39" s="111"/>
      <c r="C39" s="112" t="s">
        <v>67</v>
      </c>
      <c r="D39" s="113"/>
      <c r="E39" s="114"/>
      <c r="F39" s="115"/>
      <c r="G39" s="116">
        <v>0</v>
      </c>
      <c r="H39" s="117"/>
      <c r="I39" s="118">
        <f t="shared" si="0"/>
        <v>0</v>
      </c>
      <c r="J39" s="117"/>
      <c r="K39" s="119" t="e">
        <f>E39/E46</f>
        <v>#DIV/0!</v>
      </c>
      <c r="L39" s="119"/>
      <c r="M39" s="120"/>
      <c r="N39" s="59"/>
    </row>
    <row r="40" ht="30" customHeight="1" spans="1:14" x14ac:dyDescent="0.25">
      <c r="A40" s="57"/>
      <c r="B40" s="124" t="s">
        <v>68</v>
      </c>
      <c r="C40" s="125" t="s">
        <v>69</v>
      </c>
      <c r="D40" s="126"/>
      <c r="E40" s="127"/>
      <c r="F40" s="128"/>
      <c r="G40" s="129">
        <v>0</v>
      </c>
      <c r="H40" s="130"/>
      <c r="I40" s="131">
        <v>0</v>
      </c>
      <c r="J40" s="130"/>
      <c r="K40" s="132" t="e">
        <f>E40/E46</f>
        <v>#DIV/0!</v>
      </c>
      <c r="L40" s="132"/>
      <c r="M40" s="133"/>
      <c r="N40" s="59"/>
    </row>
    <row r="41" ht="30" customHeight="1" spans="1:14" x14ac:dyDescent="0.25">
      <c r="A41" s="57"/>
      <c r="B41" s="134" t="s">
        <v>70</v>
      </c>
      <c r="C41" s="135" t="s">
        <v>71</v>
      </c>
      <c r="D41" s="136"/>
      <c r="E41" s="137"/>
      <c r="F41" s="138"/>
      <c r="G41" s="139">
        <f>'세부비목별 집행내역서'!J167</f>
        <v>0</v>
      </c>
      <c r="H41" s="140"/>
      <c r="I41" s="141">
        <f t="shared" si="0"/>
        <v>0</v>
      </c>
      <c r="J41" s="140"/>
      <c r="K41" s="142" t="e">
        <f>E41/E46</f>
        <v>#DIV/0!</v>
      </c>
      <c r="L41" s="142"/>
      <c r="M41" s="143"/>
      <c r="N41" s="59"/>
    </row>
    <row r="42" ht="30" customHeight="1" spans="1:14" x14ac:dyDescent="0.25">
      <c r="A42" s="57"/>
      <c r="B42" s="134" t="s">
        <v>72</v>
      </c>
      <c r="C42" s="135" t="s">
        <v>73</v>
      </c>
      <c r="D42" s="136"/>
      <c r="E42" s="137"/>
      <c r="F42" s="138"/>
      <c r="G42" s="139">
        <f>'세부비목별 집행내역서'!J177</f>
        <v>0</v>
      </c>
      <c r="H42" s="140"/>
      <c r="I42" s="141">
        <f t="shared" si="0"/>
        <v>0</v>
      </c>
      <c r="J42" s="140"/>
      <c r="K42" s="142" t="e">
        <f>E42/E46</f>
        <v>#DIV/0!</v>
      </c>
      <c r="L42" s="142"/>
      <c r="M42" s="143"/>
      <c r="N42" s="59"/>
    </row>
    <row r="43" ht="30" customHeight="1" spans="1:14" x14ac:dyDescent="0.25">
      <c r="A43" s="57"/>
      <c r="B43" s="91" t="s">
        <v>74</v>
      </c>
      <c r="C43" s="92" t="s">
        <v>75</v>
      </c>
      <c r="D43" s="93"/>
      <c r="E43" s="94"/>
      <c r="F43" s="95"/>
      <c r="G43" s="96">
        <f>'세부비목별 집행내역서'!J183</f>
        <v>0</v>
      </c>
      <c r="H43" s="97"/>
      <c r="I43" s="98">
        <f t="shared" si="0"/>
        <v>0</v>
      </c>
      <c r="J43" s="97"/>
      <c r="K43" s="99" t="e">
        <f>E43/E46</f>
        <v>#DIV/0!</v>
      </c>
      <c r="L43" s="99"/>
      <c r="M43" s="100"/>
      <c r="N43" s="59"/>
    </row>
    <row r="44" ht="30" customHeight="1" spans="1:14" x14ac:dyDescent="0.25">
      <c r="A44" s="57"/>
      <c r="B44" s="101"/>
      <c r="C44" s="102" t="s">
        <v>76</v>
      </c>
      <c r="D44" s="103"/>
      <c r="E44" s="104"/>
      <c r="F44" s="105"/>
      <c r="G44" s="106">
        <f>'세부비목별 집행내역서'!J184</f>
        <v>0</v>
      </c>
      <c r="H44" s="107"/>
      <c r="I44" s="108">
        <f t="shared" si="0"/>
        <v>0</v>
      </c>
      <c r="J44" s="107"/>
      <c r="K44" s="109" t="e">
        <f>E44/E46</f>
        <v>#DIV/0!</v>
      </c>
      <c r="L44" s="109"/>
      <c r="M44" s="110"/>
      <c r="N44" s="59"/>
    </row>
    <row r="45" ht="30" customHeight="1" spans="1:14" x14ac:dyDescent="0.25">
      <c r="A45" s="57"/>
      <c r="B45" s="111"/>
      <c r="C45" s="112" t="s">
        <v>77</v>
      </c>
      <c r="D45" s="113"/>
      <c r="E45" s="114"/>
      <c r="F45" s="115"/>
      <c r="G45" s="116">
        <f>'세부비목별 집행내역서'!J185</f>
        <v>0</v>
      </c>
      <c r="H45" s="117"/>
      <c r="I45" s="118">
        <f t="shared" si="0"/>
        <v>0</v>
      </c>
      <c r="J45" s="117"/>
      <c r="K45" s="119" t="e">
        <f>E45/E46</f>
        <v>#DIV/0!</v>
      </c>
      <c r="L45" s="119"/>
      <c r="M45" s="120"/>
      <c r="N45" s="59"/>
    </row>
    <row r="46" ht="30.75" customHeight="1" spans="1:14" x14ac:dyDescent="0.25">
      <c r="A46" s="57"/>
      <c r="B46" s="144" t="s">
        <v>78</v>
      </c>
      <c r="C46" s="145"/>
      <c r="D46" s="146"/>
      <c r="E46" s="147">
        <v>8000000</v>
      </c>
      <c r="F46" s="148"/>
      <c r="G46" s="149">
        <v>0</v>
      </c>
      <c r="H46" s="150"/>
      <c r="I46" s="151">
        <v>8000000</v>
      </c>
      <c r="J46" s="150"/>
      <c r="K46" s="152" t="s">
        <v>79</v>
      </c>
      <c r="L46" s="153"/>
      <c r="M46" s="154"/>
      <c r="N46" s="59"/>
    </row>
    <row r="47" ht="35.25" customHeight="1" spans="1:14" x14ac:dyDescent="0.25">
      <c r="A47" s="57"/>
      <c r="B47" s="155" t="s">
        <v>80</v>
      </c>
      <c r="N47" s="59"/>
    </row>
    <row r="48" spans="1:14" x14ac:dyDescent="0.25">
      <c r="A48" s="156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8"/>
    </row>
  </sheetData>
  <sheetProtection selectLockedCells="1"/>
  <mergeCells count="152">
    <mergeCell ref="B4:M4"/>
    <mergeCell ref="B5:M5"/>
    <mergeCell ref="B6:M6"/>
    <mergeCell ref="B13:D13"/>
    <mergeCell ref="E13:G13"/>
    <mergeCell ref="H13:J13"/>
    <mergeCell ref="K13:M13"/>
    <mergeCell ref="B14:D14"/>
    <mergeCell ref="E14:G14"/>
    <mergeCell ref="H14:J14"/>
    <mergeCell ref="K14:M14"/>
    <mergeCell ref="B19:D19"/>
    <mergeCell ref="E19:F20"/>
    <mergeCell ref="G19:H20"/>
    <mergeCell ref="I19:J20"/>
    <mergeCell ref="K19:M20"/>
    <mergeCell ref="C20:D20"/>
    <mergeCell ref="C21:D21"/>
    <mergeCell ref="E21:F21"/>
    <mergeCell ref="G21:H21"/>
    <mergeCell ref="I21:J21"/>
    <mergeCell ref="K21:M21"/>
    <mergeCell ref="B21:B23"/>
    <mergeCell ref="C22:D22"/>
    <mergeCell ref="E22:F22"/>
    <mergeCell ref="G22:H22"/>
    <mergeCell ref="I22:J22"/>
    <mergeCell ref="K22:M22"/>
    <mergeCell ref="C23:D23"/>
    <mergeCell ref="E23:F23"/>
    <mergeCell ref="G23:H23"/>
    <mergeCell ref="I23:J23"/>
    <mergeCell ref="K23:M23"/>
    <mergeCell ref="C24:D24"/>
    <mergeCell ref="E24:F24"/>
    <mergeCell ref="G24:H24"/>
    <mergeCell ref="I24:J24"/>
    <mergeCell ref="K24:M24"/>
    <mergeCell ref="B24:B34"/>
    <mergeCell ref="C25:D25"/>
    <mergeCell ref="E25:F25"/>
    <mergeCell ref="G25:H25"/>
    <mergeCell ref="I25:J25"/>
    <mergeCell ref="K25:M25"/>
    <mergeCell ref="C26:D26"/>
    <mergeCell ref="E26:F26"/>
    <mergeCell ref="G26:H26"/>
    <mergeCell ref="I26:J26"/>
    <mergeCell ref="K26:M26"/>
    <mergeCell ref="C27:D27"/>
    <mergeCell ref="E27:F27"/>
    <mergeCell ref="G27:H27"/>
    <mergeCell ref="I27:J27"/>
    <mergeCell ref="K27:M27"/>
    <mergeCell ref="C28:D28"/>
    <mergeCell ref="E28:F28"/>
    <mergeCell ref="G28:H28"/>
    <mergeCell ref="I28:J28"/>
    <mergeCell ref="K28:M28"/>
    <mergeCell ref="C29:D29"/>
    <mergeCell ref="E29:F29"/>
    <mergeCell ref="G29:H29"/>
    <mergeCell ref="I29:J29"/>
    <mergeCell ref="K29:M29"/>
    <mergeCell ref="C30:D30"/>
    <mergeCell ref="E30:F30"/>
    <mergeCell ref="G30:H30"/>
    <mergeCell ref="I30:J30"/>
    <mergeCell ref="K30:M30"/>
    <mergeCell ref="C31:D31"/>
    <mergeCell ref="E31:F31"/>
    <mergeCell ref="G31:H31"/>
    <mergeCell ref="I31:J31"/>
    <mergeCell ref="K31:M31"/>
    <mergeCell ref="C32:D32"/>
    <mergeCell ref="E32:F32"/>
    <mergeCell ref="G32:H32"/>
    <mergeCell ref="I32:J32"/>
    <mergeCell ref="K32:M32"/>
    <mergeCell ref="C33:D33"/>
    <mergeCell ref="E33:F33"/>
    <mergeCell ref="G33:H33"/>
    <mergeCell ref="I33:J33"/>
    <mergeCell ref="K33:M33"/>
    <mergeCell ref="C34:D34"/>
    <mergeCell ref="E34:F34"/>
    <mergeCell ref="G34:H34"/>
    <mergeCell ref="I34:J34"/>
    <mergeCell ref="K34:M34"/>
    <mergeCell ref="C35:D35"/>
    <mergeCell ref="E35:F35"/>
    <mergeCell ref="G35:H35"/>
    <mergeCell ref="I35:J35"/>
    <mergeCell ref="K35:M35"/>
    <mergeCell ref="B35:B37"/>
    <mergeCell ref="C36:D36"/>
    <mergeCell ref="E36:F36"/>
    <mergeCell ref="G36:H36"/>
    <mergeCell ref="I36:J36"/>
    <mergeCell ref="K36:M36"/>
    <mergeCell ref="C37:D37"/>
    <mergeCell ref="E37:F37"/>
    <mergeCell ref="G37:H37"/>
    <mergeCell ref="I37:J37"/>
    <mergeCell ref="K37:M37"/>
    <mergeCell ref="C38:D38"/>
    <mergeCell ref="E38:F38"/>
    <mergeCell ref="G38:H38"/>
    <mergeCell ref="I38:J38"/>
    <mergeCell ref="K38:M38"/>
    <mergeCell ref="B38:B39"/>
    <mergeCell ref="C39:D39"/>
    <mergeCell ref="E39:F39"/>
    <mergeCell ref="G39:H39"/>
    <mergeCell ref="I39:J39"/>
    <mergeCell ref="K39:M39"/>
    <mergeCell ref="C40:D40"/>
    <mergeCell ref="E40:F40"/>
    <mergeCell ref="G40:H40"/>
    <mergeCell ref="I40:J40"/>
    <mergeCell ref="K40:M40"/>
    <mergeCell ref="C41:D41"/>
    <mergeCell ref="E41:F41"/>
    <mergeCell ref="G41:H41"/>
    <mergeCell ref="I41:J41"/>
    <mergeCell ref="K41:M41"/>
    <mergeCell ref="C42:D42"/>
    <mergeCell ref="E42:F42"/>
    <mergeCell ref="G42:H42"/>
    <mergeCell ref="I42:J42"/>
    <mergeCell ref="K42:M42"/>
    <mergeCell ref="C43:D43"/>
    <mergeCell ref="E43:F43"/>
    <mergeCell ref="G43:H43"/>
    <mergeCell ref="I43:J43"/>
    <mergeCell ref="K43:M43"/>
    <mergeCell ref="B43:B45"/>
    <mergeCell ref="C44:D44"/>
    <mergeCell ref="E44:F44"/>
    <mergeCell ref="G44:H44"/>
    <mergeCell ref="I44:J44"/>
    <mergeCell ref="K44:M44"/>
    <mergeCell ref="C45:D45"/>
    <mergeCell ref="E45:F45"/>
    <mergeCell ref="G45:H45"/>
    <mergeCell ref="I45:J45"/>
    <mergeCell ref="K45:M45"/>
    <mergeCell ref="B46:D46"/>
    <mergeCell ref="E46:F46"/>
    <mergeCell ref="G46:H46"/>
    <mergeCell ref="I46:J46"/>
    <mergeCell ref="K46:M46"/>
  </mergeCells>
  <pageMargins left="0.25" right="0.25" top="0.75" bottom="0.75" header="0.3" footer="0.3"/>
  <pageSetup paperSize="9" orientation="portrait" horizontalDpi="4294967295" verticalDpi="4294967295" scale="39" fitToWidth="1" fitToHeight="0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4"/>
  <sheetViews>
    <sheetView workbookViewId="0" zoomScale="85" zoomScaleNormal="85">
      <selection activeCell="B24" sqref="B24"/>
    </sheetView>
  </sheetViews>
  <sheetFormatPr defaultRowHeight="17" outlineLevelRow="0" outlineLevelCol="0" x14ac:dyDescent="0" defaultColWidth="8.83203125" customHeight="1"/>
  <cols>
    <col min="1" max="1" width="9" style="1" customWidth="1"/>
    <col min="2" max="2" width="10.6640625" style="1" customWidth="1"/>
    <col min="3" max="3" width="10.1640625" style="1" customWidth="1"/>
    <col min="4" max="10" width="11.6640625" style="1" customWidth="1"/>
    <col min="11" max="11" width="17.6640625" style="1" customWidth="1"/>
    <col min="12" max="12" width="9" style="1" customWidth="1"/>
  </cols>
  <sheetData>
    <row r="1" ht="18" customHeight="1" x14ac:dyDescent="0.25"/>
    <row r="2" ht="31" customHeight="1" spans="2:1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 ht="26.25" customHeight="1" spans="2:11" x14ac:dyDescent="0.25">
      <c r="B3" s="5" t="s">
        <v>1</v>
      </c>
      <c r="C3" s="6"/>
      <c r="D3" s="7" t="s">
        <v>2</v>
      </c>
      <c r="E3" s="8"/>
      <c r="F3" s="8"/>
      <c r="G3" s="8"/>
      <c r="H3" s="8"/>
      <c r="I3" s="8"/>
      <c r="J3" s="8"/>
      <c r="K3" s="9"/>
    </row>
    <row r="4" ht="25.5" customHeight="1" spans="2:11" x14ac:dyDescent="0.25">
      <c r="B4" s="10" t="s">
        <v>3</v>
      </c>
      <c r="C4" s="11"/>
      <c r="D4" s="12" t="s">
        <v>4</v>
      </c>
      <c r="E4" s="13"/>
      <c r="F4" s="13"/>
      <c r="G4" s="13"/>
      <c r="H4" s="13"/>
      <c r="I4" s="13"/>
      <c r="J4" s="13"/>
      <c r="K4" s="14"/>
    </row>
    <row r="5" ht="24" customHeight="1" spans="2:11" x14ac:dyDescent="0.25">
      <c r="B5" s="10" t="s">
        <v>5</v>
      </c>
      <c r="C5" s="11"/>
      <c r="D5" s="15" t="s">
        <v>6</v>
      </c>
      <c r="E5" s="16"/>
      <c r="F5" s="16"/>
      <c r="G5" s="16"/>
      <c r="H5" s="16"/>
      <c r="I5" s="16"/>
      <c r="J5" s="16"/>
      <c r="K5" s="17"/>
    </row>
    <row r="6" ht="21.75" customHeight="1" spans="2:11" x14ac:dyDescent="0.25">
      <c r="B6" s="18" t="s">
        <v>7</v>
      </c>
      <c r="C6" s="19"/>
      <c r="D6" s="15" t="s">
        <v>8</v>
      </c>
      <c r="E6" s="11"/>
      <c r="F6" s="15" t="s">
        <v>9</v>
      </c>
      <c r="G6" s="11"/>
      <c r="H6" s="15" t="s">
        <v>10</v>
      </c>
      <c r="I6" s="11"/>
      <c r="J6" s="15" t="s">
        <v>11</v>
      </c>
      <c r="K6" s="17"/>
    </row>
    <row r="7" ht="18" customHeight="1" spans="2:11" x14ac:dyDescent="0.25">
      <c r="B7" s="20"/>
      <c r="C7" s="21"/>
      <c r="D7" s="22">
        <v>8000000</v>
      </c>
      <c r="E7" s="11"/>
      <c r="F7" s="22">
        <v>8000000</v>
      </c>
      <c r="G7" s="11"/>
      <c r="H7" s="15"/>
      <c r="I7" s="11"/>
      <c r="J7" s="15"/>
      <c r="K7" s="17"/>
    </row>
    <row r="8" ht="25.5" customHeight="1" spans="2:11" x14ac:dyDescent="0.25">
      <c r="B8" s="10" t="s">
        <v>12</v>
      </c>
      <c r="C8" s="11"/>
      <c r="D8" s="15" t="s">
        <v>13</v>
      </c>
      <c r="E8" s="16"/>
      <c r="F8" s="16"/>
      <c r="G8" s="16"/>
      <c r="H8" s="16"/>
      <c r="I8" s="16"/>
      <c r="J8" s="16"/>
      <c r="K8" s="17"/>
    </row>
    <row r="9" ht="25" customHeight="1" spans="2:11" x14ac:dyDescent="0.25">
      <c r="B9" s="18" t="s">
        <v>14</v>
      </c>
      <c r="C9" s="19"/>
      <c r="D9" s="23" t="s">
        <v>15</v>
      </c>
      <c r="E9" s="15"/>
      <c r="F9" s="16"/>
      <c r="G9" s="16"/>
      <c r="H9" s="16"/>
      <c r="I9" s="16"/>
      <c r="J9" s="16"/>
      <c r="K9" s="17"/>
    </row>
    <row r="10" ht="25" customHeight="1" spans="2:11" x14ac:dyDescent="0.25">
      <c r="B10" s="24"/>
      <c r="C10" s="25"/>
      <c r="D10" s="23" t="s">
        <v>16</v>
      </c>
      <c r="E10" s="26" t="s">
        <v>17</v>
      </c>
      <c r="F10" s="27"/>
      <c r="G10" s="27"/>
      <c r="H10" s="27"/>
      <c r="I10" s="27"/>
      <c r="J10" s="27"/>
      <c r="K10" s="28"/>
    </row>
    <row r="11" ht="25" customHeight="1" spans="2:11" x14ac:dyDescent="0.25">
      <c r="B11" s="20"/>
      <c r="C11" s="21"/>
      <c r="D11" s="23" t="s">
        <v>18</v>
      </c>
      <c r="E11" s="26" t="s">
        <v>17</v>
      </c>
      <c r="F11" s="27"/>
      <c r="G11" s="27"/>
      <c r="H11" s="27"/>
      <c r="I11" s="27"/>
      <c r="J11" s="27"/>
      <c r="K11" s="28"/>
    </row>
    <row r="12" ht="25" customHeight="1" spans="2:11" x14ac:dyDescent="0.25">
      <c r="B12" s="18" t="s">
        <v>19</v>
      </c>
      <c r="C12" s="19"/>
      <c r="D12" s="23" t="s">
        <v>15</v>
      </c>
      <c r="E12" s="26" t="s">
        <v>17</v>
      </c>
      <c r="F12" s="27"/>
      <c r="G12" s="27"/>
      <c r="H12" s="27"/>
      <c r="I12" s="27"/>
      <c r="J12" s="27"/>
      <c r="K12" s="28"/>
    </row>
    <row r="13" ht="25" customHeight="1" spans="2:11" x14ac:dyDescent="0.25">
      <c r="B13" s="24"/>
      <c r="C13" s="25"/>
      <c r="D13" s="23" t="s">
        <v>16</v>
      </c>
      <c r="E13" s="26" t="s">
        <v>17</v>
      </c>
      <c r="F13" s="27"/>
      <c r="G13" s="27"/>
      <c r="H13" s="27"/>
      <c r="I13" s="27"/>
      <c r="J13" s="27"/>
      <c r="K13" s="28"/>
    </row>
    <row r="14" ht="25" customHeight="1" spans="2:11" x14ac:dyDescent="0.25">
      <c r="B14" s="20"/>
      <c r="C14" s="21"/>
      <c r="D14" s="23" t="s">
        <v>18</v>
      </c>
      <c r="E14" s="26" t="s">
        <v>17</v>
      </c>
      <c r="F14" s="27"/>
      <c r="G14" s="27"/>
      <c r="H14" s="27"/>
      <c r="I14" s="27"/>
      <c r="J14" s="27"/>
      <c r="K14" s="28"/>
    </row>
    <row r="15" ht="17.25" customHeight="1" spans="2:11" x14ac:dyDescent="0.25">
      <c r="B15" s="29" t="s">
        <v>17</v>
      </c>
      <c r="C15" s="30"/>
      <c r="D15" s="31"/>
      <c r="E15" s="31"/>
      <c r="F15" s="31"/>
      <c r="G15" s="31"/>
      <c r="H15" s="31"/>
      <c r="I15" s="31"/>
      <c r="J15" s="31"/>
      <c r="K15" s="32"/>
    </row>
    <row r="16" ht="17.25" customHeight="1" spans="2:11" x14ac:dyDescent="0.25">
      <c r="B16" s="33" t="s">
        <v>17</v>
      </c>
      <c r="C16" s="31"/>
      <c r="D16" s="31"/>
      <c r="E16" s="31"/>
      <c r="F16" s="31"/>
      <c r="G16" s="31"/>
      <c r="H16" s="31"/>
      <c r="I16" s="31"/>
      <c r="J16" s="31"/>
      <c r="K16" s="32"/>
    </row>
    <row r="17" ht="32.25" customHeight="1" spans="2:11" x14ac:dyDescent="0.25">
      <c r="B17" s="24" t="s">
        <v>20</v>
      </c>
      <c r="C17" s="34"/>
      <c r="D17" s="34"/>
      <c r="E17" s="34"/>
      <c r="F17" s="34"/>
      <c r="G17" s="34"/>
      <c r="H17" s="34"/>
      <c r="I17" s="34"/>
      <c r="J17" s="34"/>
      <c r="K17" s="35"/>
    </row>
    <row r="18" ht="17.25" customHeight="1" spans="2:11" x14ac:dyDescent="0.25">
      <c r="B18" s="33" t="s">
        <v>17</v>
      </c>
      <c r="C18" s="31"/>
      <c r="D18" s="31"/>
      <c r="E18" s="31"/>
      <c r="F18" s="31"/>
      <c r="G18" s="31"/>
      <c r="H18" s="31"/>
      <c r="I18" s="31"/>
      <c r="J18" s="31"/>
      <c r="K18" s="32"/>
    </row>
    <row r="19" ht="17.25" customHeight="1" spans="2:11" x14ac:dyDescent="0.25">
      <c r="B19" s="33" t="s">
        <v>17</v>
      </c>
      <c r="C19" s="31"/>
      <c r="D19" s="31"/>
      <c r="E19" s="31"/>
      <c r="F19" s="31"/>
      <c r="G19" s="31"/>
      <c r="H19" s="31"/>
      <c r="I19" s="31"/>
      <c r="J19" s="31"/>
      <c r="K19" s="32"/>
    </row>
    <row r="20" ht="18" customHeight="1" spans="2:11" x14ac:dyDescent="0.25">
      <c r="B20" s="36" t="s">
        <v>21</v>
      </c>
      <c r="C20" s="37"/>
      <c r="D20" s="37"/>
      <c r="E20" s="37"/>
      <c r="F20" s="37"/>
      <c r="G20" s="37"/>
      <c r="H20" s="37"/>
      <c r="I20" s="37"/>
      <c r="J20" s="37"/>
      <c r="K20" s="38"/>
    </row>
    <row r="21" ht="17.25" customHeight="1" spans="2:11" x14ac:dyDescent="0.25">
      <c r="B21" s="36" t="s">
        <v>22</v>
      </c>
      <c r="C21" s="37"/>
      <c r="D21" s="37"/>
      <c r="E21" s="37"/>
      <c r="F21" s="37"/>
      <c r="G21" s="37"/>
      <c r="H21" s="37"/>
      <c r="I21" s="37"/>
      <c r="J21" s="37"/>
      <c r="K21" s="38"/>
    </row>
    <row r="22" ht="17.25" customHeight="1" spans="2:11" x14ac:dyDescent="0.25">
      <c r="B22" s="33" t="s">
        <v>17</v>
      </c>
      <c r="C22" s="31"/>
      <c r="D22" s="31"/>
      <c r="E22" s="31"/>
      <c r="F22" s="31"/>
      <c r="G22" s="31"/>
      <c r="H22" s="31"/>
      <c r="I22" s="31"/>
      <c r="J22" s="31"/>
      <c r="K22" s="32"/>
    </row>
    <row r="23" ht="23" customHeight="1" spans="2:11" x14ac:dyDescent="0.25">
      <c r="B23" s="39" t="s">
        <v>23</v>
      </c>
      <c r="C23" s="40"/>
      <c r="D23" s="40"/>
      <c r="E23" s="40"/>
      <c r="F23" s="40"/>
      <c r="G23" s="40"/>
      <c r="H23" s="40"/>
      <c r="I23" s="40"/>
      <c r="J23" s="40"/>
      <c r="K23" s="41"/>
    </row>
    <row r="24" ht="17.25" customHeight="1" spans="2:11" x14ac:dyDescent="0.25">
      <c r="B24" s="24" t="s">
        <v>17</v>
      </c>
      <c r="C24" s="34"/>
      <c r="D24" s="34"/>
      <c r="E24" s="34"/>
      <c r="F24" s="34"/>
      <c r="G24" s="34"/>
      <c r="H24" s="34"/>
      <c r="I24" s="34"/>
      <c r="J24" s="34"/>
      <c r="K24" s="35"/>
    </row>
    <row r="25" ht="17.25" customHeight="1" spans="2:11" x14ac:dyDescent="0.25">
      <c r="B25" s="24" t="s">
        <v>17</v>
      </c>
      <c r="C25" s="34"/>
      <c r="D25" s="34"/>
      <c r="E25" s="34"/>
      <c r="F25" s="34"/>
      <c r="G25" s="34"/>
      <c r="H25" s="34"/>
      <c r="I25" s="34"/>
      <c r="J25" s="34"/>
      <c r="K25" s="35"/>
    </row>
    <row r="26" ht="26" customHeight="1" spans="2:11" x14ac:dyDescent="0.25">
      <c r="B26" s="42"/>
      <c r="C26" s="43"/>
      <c r="D26" s="43"/>
      <c r="E26" s="44" t="s">
        <v>24</v>
      </c>
      <c r="F26" s="44"/>
      <c r="G26" s="44"/>
      <c r="H26" s="44"/>
      <c r="I26" s="44"/>
      <c r="J26" s="44"/>
      <c r="K26" s="45"/>
    </row>
    <row r="27" ht="26" customHeight="1" spans="2:11" x14ac:dyDescent="0.25">
      <c r="B27" s="42"/>
      <c r="C27" s="43"/>
      <c r="D27" s="43"/>
      <c r="E27" s="44" t="s">
        <v>25</v>
      </c>
      <c r="F27" s="44"/>
      <c r="G27" s="44"/>
      <c r="H27" s="44"/>
      <c r="I27" s="44"/>
      <c r="J27" s="44"/>
      <c r="K27" s="45"/>
    </row>
    <row r="28" ht="17.25" customHeight="1" spans="2:11" x14ac:dyDescent="0.25">
      <c r="B28" s="33" t="s">
        <v>17</v>
      </c>
      <c r="C28" s="31"/>
      <c r="D28" s="31"/>
      <c r="E28" s="31"/>
      <c r="F28" s="31"/>
      <c r="G28" s="31"/>
      <c r="H28" s="31"/>
      <c r="I28" s="31"/>
      <c r="J28" s="31"/>
      <c r="K28" s="32"/>
    </row>
    <row r="29" ht="17.25" customHeight="1" spans="2:11" x14ac:dyDescent="0.25">
      <c r="B29" s="33" t="s">
        <v>17</v>
      </c>
      <c r="C29" s="31"/>
      <c r="D29" s="31"/>
      <c r="E29" s="31"/>
      <c r="F29" s="31"/>
      <c r="G29" s="31"/>
      <c r="H29" s="31"/>
      <c r="I29" s="31"/>
      <c r="J29" s="31"/>
      <c r="K29" s="32"/>
    </row>
    <row r="30" ht="17.25" customHeight="1" spans="2:11" x14ac:dyDescent="0.25">
      <c r="B30" s="33" t="s">
        <v>17</v>
      </c>
      <c r="C30" s="31"/>
      <c r="D30" s="31"/>
      <c r="E30" s="31"/>
      <c r="F30" s="31"/>
      <c r="G30" s="31"/>
      <c r="H30" s="31"/>
      <c r="I30" s="31"/>
      <c r="J30" s="31"/>
      <c r="K30" s="32"/>
    </row>
    <row r="31" ht="17.25" customHeight="1" spans="2:11" x14ac:dyDescent="0.25">
      <c r="B31" s="33" t="s">
        <v>17</v>
      </c>
      <c r="C31" s="31"/>
      <c r="D31" s="31"/>
      <c r="E31" s="31"/>
      <c r="F31" s="31"/>
      <c r="G31" s="31"/>
      <c r="H31" s="31"/>
      <c r="I31" s="31"/>
      <c r="J31" s="31"/>
      <c r="K31" s="32"/>
    </row>
    <row r="32" ht="17.25" customHeight="1" spans="2:11" x14ac:dyDescent="0.25">
      <c r="B32" s="33" t="s">
        <v>17</v>
      </c>
      <c r="C32" s="31"/>
      <c r="D32" s="31"/>
      <c r="E32" s="31"/>
      <c r="F32" s="31"/>
      <c r="G32" s="31"/>
      <c r="H32" s="31"/>
      <c r="I32" s="31"/>
      <c r="J32" s="31"/>
      <c r="K32" s="32"/>
    </row>
    <row r="33" ht="22.5" customHeight="1" spans="2:11" x14ac:dyDescent="0.25">
      <c r="B33" s="46" t="s">
        <v>26</v>
      </c>
      <c r="C33" s="47"/>
      <c r="D33" s="47"/>
      <c r="E33" s="47"/>
      <c r="F33" s="47"/>
      <c r="G33" s="47"/>
      <c r="H33" s="47"/>
      <c r="I33" s="47"/>
      <c r="J33" s="47"/>
      <c r="K33" s="48"/>
    </row>
    <row r="34" ht="28" customHeight="1" spans="2:11" x14ac:dyDescent="0.25">
      <c r="B34" s="49" t="s">
        <v>17</v>
      </c>
      <c r="C34" s="50"/>
      <c r="D34" s="50"/>
      <c r="E34" s="50"/>
      <c r="F34" s="50"/>
      <c r="G34" s="50"/>
      <c r="H34" s="50"/>
      <c r="I34" s="50"/>
      <c r="J34" s="50"/>
      <c r="K34" s="51"/>
    </row>
  </sheetData>
  <mergeCells count="46">
    <mergeCell ref="B2:K2"/>
    <mergeCell ref="B3:C3"/>
    <mergeCell ref="D3:K3"/>
    <mergeCell ref="B4:C4"/>
    <mergeCell ref="D4:K4"/>
    <mergeCell ref="B5:C5"/>
    <mergeCell ref="D5:K5"/>
    <mergeCell ref="B6:C7"/>
    <mergeCell ref="D6:E6"/>
    <mergeCell ref="F6:G6"/>
    <mergeCell ref="H6:I6"/>
    <mergeCell ref="J6:K6"/>
    <mergeCell ref="D7:E7"/>
    <mergeCell ref="F7:G7"/>
    <mergeCell ref="H7:I7"/>
    <mergeCell ref="J7:K7"/>
    <mergeCell ref="B8:C8"/>
    <mergeCell ref="D8:K8"/>
    <mergeCell ref="B9:C11"/>
    <mergeCell ref="E9:K9"/>
    <mergeCell ref="E10:K10"/>
    <mergeCell ref="E11:K11"/>
    <mergeCell ref="B12:C14"/>
    <mergeCell ref="E12:K12"/>
    <mergeCell ref="E13:K13"/>
    <mergeCell ref="E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E26:J26"/>
    <mergeCell ref="E27:J27"/>
    <mergeCell ref="B28:K28"/>
    <mergeCell ref="B29:K29"/>
    <mergeCell ref="B30:K30"/>
    <mergeCell ref="B31:K31"/>
    <mergeCell ref="B32:K32"/>
    <mergeCell ref="B33:K33"/>
    <mergeCell ref="B34:K34"/>
  </mergeCells>
  <pageMargins left="0.25" right="0.25" top="0.75" bottom="0.75" header="0.3" footer="0.3"/>
  <pageSetup paperSize="9" orientation="portrait" horizontalDpi="4294967295" verticalDpi="4294967295" scale="94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187"/>
  <sheetViews>
    <sheetView workbookViewId="0" zoomScale="80" zoomScaleNormal="80">
      <selection activeCell="D13" sqref="D13"/>
    </sheetView>
  </sheetViews>
  <sheetFormatPr defaultRowHeight="17" outlineLevelRow="0" outlineLevelCol="0" x14ac:dyDescent="0" defaultColWidth="9" customHeight="1"/>
  <cols>
    <col min="1" max="1" width="4.5" style="52" customWidth="1"/>
    <col min="2" max="2" width="5.1640625" style="52" customWidth="1"/>
    <col min="3" max="3" width="29.6640625" style="52" customWidth="1"/>
    <col min="4" max="4" width="41.33203125" style="52" customWidth="1"/>
    <col min="5" max="5" width="9.5" style="52" customWidth="1"/>
    <col min="6" max="6" width="7.6640625" style="52" customWidth="1"/>
    <col min="7" max="7" width="6" style="52" customWidth="1"/>
    <col min="8" max="9" width="8.5" style="52" customWidth="1"/>
    <col min="10" max="10" width="10.6640625" style="52" customWidth="1"/>
    <col min="11" max="11" width="12" style="52" customWidth="1"/>
    <col min="12" max="12" width="13.1640625" style="52" customWidth="1"/>
    <col min="13" max="13" width="20.5" style="52" customWidth="1"/>
    <col min="14" max="14" width="17.83203125" style="52" customWidth="1"/>
    <col min="15" max="15" width="10.5" style="52" customWidth="1"/>
    <col min="16" max="16" width="5" style="52" customWidth="1"/>
    <col min="17" max="17" width="9" style="52" customWidth="1"/>
    <col min="18" max="16384" width="9" style="159" customWidth="1"/>
  </cols>
  <sheetData>
    <row r="2" ht="26.25" customHeight="1" spans="2:10" x14ac:dyDescent="0.25">
      <c r="B2" s="160" t="s">
        <v>81</v>
      </c>
      <c r="C2" s="160"/>
      <c r="D2" s="160"/>
      <c r="E2" s="160"/>
      <c r="F2" s="160"/>
      <c r="G2" s="160"/>
      <c r="H2" s="160"/>
      <c r="I2" s="160"/>
      <c r="J2" s="160"/>
    </row>
    <row r="5" ht="30" customHeight="1" spans="2:15" x14ac:dyDescent="0.25">
      <c r="B5" s="161" t="s">
        <v>82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</row>
    <row r="6" spans="2:10" x14ac:dyDescent="0.25">
      <c r="B6" s="162" t="s">
        <v>17</v>
      </c>
      <c r="C6" s="162"/>
      <c r="D6" s="162"/>
      <c r="E6" s="162"/>
      <c r="F6" s="162"/>
      <c r="G6" s="162"/>
      <c r="H6" s="162"/>
      <c r="I6" s="162"/>
      <c r="J6" s="162"/>
    </row>
    <row r="8" ht="20" customHeight="1" spans="1:16" x14ac:dyDescent="0.25">
      <c r="A8" s="54"/>
      <c r="B8" s="163"/>
      <c r="C8" s="163"/>
      <c r="D8" s="163"/>
      <c r="E8" s="163"/>
      <c r="F8" s="163"/>
      <c r="G8" s="163"/>
      <c r="H8" s="163"/>
      <c r="I8" s="163"/>
      <c r="J8" s="163"/>
      <c r="K8" s="55"/>
      <c r="L8" s="55"/>
      <c r="M8" s="55"/>
      <c r="N8" s="55"/>
      <c r="O8" s="55"/>
      <c r="P8" s="56"/>
    </row>
    <row r="9" ht="20" customHeight="1" spans="1:16" x14ac:dyDescent="0.25">
      <c r="A9" s="57"/>
      <c r="B9" s="164" t="s">
        <v>83</v>
      </c>
      <c r="C9" s="164"/>
      <c r="D9" s="164"/>
      <c r="E9" s="164"/>
      <c r="F9" s="164"/>
      <c r="G9" s="164"/>
      <c r="H9" s="164"/>
      <c r="I9" s="164"/>
      <c r="J9" s="164"/>
      <c r="P9" s="59"/>
    </row>
    <row r="10" ht="19.5" customHeight="1" spans="1:16" x14ac:dyDescent="0.25">
      <c r="A10" s="57"/>
      <c r="B10" s="155" t="s">
        <v>84</v>
      </c>
      <c r="C10" s="155"/>
      <c r="D10" s="155"/>
      <c r="E10" s="155"/>
      <c r="F10" s="155"/>
      <c r="G10" s="155"/>
      <c r="H10" s="155"/>
      <c r="I10" s="155"/>
      <c r="J10" s="155"/>
      <c r="O10" s="165" t="s">
        <v>85</v>
      </c>
      <c r="P10" s="59"/>
    </row>
    <row r="11" ht="18" customHeight="1" spans="1:16" x14ac:dyDescent="0.25">
      <c r="A11" s="57"/>
      <c r="B11" s="166" t="s">
        <v>86</v>
      </c>
      <c r="C11" s="166" t="s">
        <v>87</v>
      </c>
      <c r="D11" s="167" t="s">
        <v>88</v>
      </c>
      <c r="E11" s="167" t="s">
        <v>89</v>
      </c>
      <c r="F11" s="167" t="s">
        <v>90</v>
      </c>
      <c r="G11" s="167" t="s">
        <v>91</v>
      </c>
      <c r="H11" s="167" t="s">
        <v>92</v>
      </c>
      <c r="I11" s="167" t="s">
        <v>93</v>
      </c>
      <c r="J11" s="168" t="s">
        <v>94</v>
      </c>
      <c r="K11" s="169" t="s">
        <v>95</v>
      </c>
      <c r="L11" s="169" t="s">
        <v>96</v>
      </c>
      <c r="M11" s="166" t="s">
        <v>97</v>
      </c>
      <c r="N11" s="166" t="s">
        <v>98</v>
      </c>
      <c r="O11" s="166" t="s">
        <v>99</v>
      </c>
      <c r="P11" s="59"/>
    </row>
    <row r="12" ht="18" customHeight="1" spans="1:16" x14ac:dyDescent="0.25">
      <c r="A12" s="57"/>
      <c r="B12" s="169"/>
      <c r="C12" s="169"/>
      <c r="D12" s="170"/>
      <c r="E12" s="170"/>
      <c r="F12" s="170"/>
      <c r="G12" s="170"/>
      <c r="H12" s="170"/>
      <c r="I12" s="170"/>
      <c r="J12" s="171"/>
      <c r="K12" s="169"/>
      <c r="L12" s="169"/>
      <c r="M12" s="169"/>
      <c r="N12" s="169"/>
      <c r="O12" s="169"/>
      <c r="P12" s="59"/>
    </row>
    <row r="13" ht="30" customHeight="1" spans="1:16" x14ac:dyDescent="0.25">
      <c r="A13" s="57"/>
      <c r="B13" s="172">
        <v>1</v>
      </c>
      <c r="C13" s="173" t="s">
        <v>46</v>
      </c>
      <c r="D13" s="172"/>
      <c r="E13" s="172"/>
      <c r="F13" s="172"/>
      <c r="G13" s="172"/>
      <c r="H13" s="172"/>
      <c r="I13" s="172"/>
      <c r="J13" s="174">
        <f>G13*H13*I13</f>
        <v>0</v>
      </c>
      <c r="K13" s="175"/>
      <c r="L13" s="175"/>
      <c r="M13" s="175"/>
      <c r="N13" s="175"/>
      <c r="O13" s="176"/>
      <c r="P13" s="59"/>
    </row>
    <row r="14" ht="30" customHeight="1" spans="1:16" x14ac:dyDescent="0.25">
      <c r="A14" s="57"/>
      <c r="B14" s="172">
        <v>2</v>
      </c>
      <c r="C14" s="173" t="s">
        <v>47</v>
      </c>
      <c r="D14" s="172"/>
      <c r="E14" s="172"/>
      <c r="F14" s="172"/>
      <c r="G14" s="172"/>
      <c r="H14" s="172"/>
      <c r="I14" s="172"/>
      <c r="J14" s="174">
        <f t="shared" ref="J14" si="0">G14*H14*I14</f>
        <v>0</v>
      </c>
      <c r="K14" s="175"/>
      <c r="L14" s="175"/>
      <c r="M14" s="175"/>
      <c r="N14" s="175"/>
      <c r="O14" s="172"/>
      <c r="P14" s="59"/>
    </row>
    <row r="15" ht="30" customHeight="1" spans="1:16" x14ac:dyDescent="0.25">
      <c r="A15" s="57"/>
      <c r="B15" s="172">
        <v>3</v>
      </c>
      <c r="C15" s="173" t="s">
        <v>48</v>
      </c>
      <c r="D15" s="172"/>
      <c r="E15" s="172"/>
      <c r="F15" s="172"/>
      <c r="G15" s="172"/>
      <c r="H15" s="172"/>
      <c r="I15" s="172"/>
      <c r="J15" s="174">
        <f>G15*H15*I15</f>
        <v>0</v>
      </c>
      <c r="K15" s="175"/>
      <c r="L15" s="175"/>
      <c r="M15" s="175"/>
      <c r="N15" s="175"/>
      <c r="O15" s="172"/>
      <c r="P15" s="59"/>
    </row>
    <row r="16" ht="30" customHeight="1" spans="1:16" x14ac:dyDescent="0.25">
      <c r="A16" s="57"/>
      <c r="B16" s="177" t="s">
        <v>100</v>
      </c>
      <c r="C16" s="178"/>
      <c r="D16" s="178"/>
      <c r="E16" s="178"/>
      <c r="F16" s="178"/>
      <c r="G16" s="178"/>
      <c r="H16" s="178"/>
      <c r="I16" s="179"/>
      <c r="J16" s="180">
        <f>SUM(J13:J15)</f>
        <v>0</v>
      </c>
      <c r="K16" s="172" t="s">
        <v>79</v>
      </c>
      <c r="L16" s="172" t="s">
        <v>79</v>
      </c>
      <c r="M16" s="172" t="s">
        <v>79</v>
      </c>
      <c r="N16" s="172" t="s">
        <v>79</v>
      </c>
      <c r="O16" s="172" t="s">
        <v>79</v>
      </c>
      <c r="P16" s="59"/>
    </row>
    <row r="17" spans="1:16" x14ac:dyDescent="0.25">
      <c r="A17" s="57"/>
      <c r="P17" s="59"/>
    </row>
    <row r="18" spans="1:16" x14ac:dyDescent="0.25">
      <c r="A18" s="57"/>
      <c r="P18" s="59"/>
    </row>
    <row r="19" ht="20" customHeight="1" spans="1:16" x14ac:dyDescent="0.25">
      <c r="A19" s="57"/>
      <c r="B19" s="164" t="s">
        <v>101</v>
      </c>
      <c r="C19" s="164"/>
      <c r="D19" s="164"/>
      <c r="E19" s="164"/>
      <c r="F19" s="164"/>
      <c r="G19" s="164"/>
      <c r="H19" s="164"/>
      <c r="I19" s="164"/>
      <c r="J19" s="164"/>
      <c r="P19" s="59"/>
    </row>
    <row r="20" ht="20" customHeight="1" spans="1:16" x14ac:dyDescent="0.25">
      <c r="A20" s="57"/>
      <c r="B20" s="155" t="s">
        <v>102</v>
      </c>
      <c r="C20" s="155"/>
      <c r="D20" s="155"/>
      <c r="E20" s="155"/>
      <c r="F20" s="155"/>
      <c r="G20" s="155"/>
      <c r="H20" s="155"/>
      <c r="I20" s="155"/>
      <c r="J20" s="155"/>
      <c r="O20" s="165" t="s">
        <v>85</v>
      </c>
      <c r="P20" s="59"/>
    </row>
    <row r="21" spans="1:16" x14ac:dyDescent="0.25">
      <c r="A21" s="57"/>
      <c r="B21" s="166" t="s">
        <v>86</v>
      </c>
      <c r="C21" s="166" t="s">
        <v>87</v>
      </c>
      <c r="D21" s="167" t="s">
        <v>88</v>
      </c>
      <c r="E21" s="181" t="s">
        <v>103</v>
      </c>
      <c r="F21" s="182"/>
      <c r="G21" s="167" t="s">
        <v>90</v>
      </c>
      <c r="H21" s="167" t="s">
        <v>104</v>
      </c>
      <c r="I21" s="167" t="s">
        <v>92</v>
      </c>
      <c r="J21" s="168" t="s">
        <v>94</v>
      </c>
      <c r="K21" s="169" t="s">
        <v>95</v>
      </c>
      <c r="L21" s="169" t="s">
        <v>96</v>
      </c>
      <c r="M21" s="166" t="s">
        <v>97</v>
      </c>
      <c r="N21" s="166" t="s">
        <v>98</v>
      </c>
      <c r="O21" s="166" t="s">
        <v>99</v>
      </c>
      <c r="P21" s="59"/>
    </row>
    <row r="22" spans="1:16" x14ac:dyDescent="0.25">
      <c r="A22" s="57"/>
      <c r="B22" s="169"/>
      <c r="C22" s="169"/>
      <c r="D22" s="170"/>
      <c r="E22" s="183"/>
      <c r="F22" s="184"/>
      <c r="G22" s="170"/>
      <c r="H22" s="170"/>
      <c r="I22" s="170"/>
      <c r="J22" s="171"/>
      <c r="K22" s="169"/>
      <c r="L22" s="169"/>
      <c r="M22" s="169"/>
      <c r="N22" s="169"/>
      <c r="O22" s="169"/>
      <c r="P22" s="59"/>
    </row>
    <row r="23" ht="30" customHeight="1" spans="1:16" x14ac:dyDescent="0.25">
      <c r="A23" s="57"/>
      <c r="B23" s="172">
        <v>1</v>
      </c>
      <c r="C23" s="185" t="s">
        <v>105</v>
      </c>
      <c r="D23" s="186" t="s">
        <v>106</v>
      </c>
      <c r="E23" s="187" t="s">
        <v>107</v>
      </c>
      <c r="F23" s="188"/>
      <c r="G23" s="189" t="s">
        <v>108</v>
      </c>
      <c r="H23" s="190">
        <v>20</v>
      </c>
      <c r="I23" s="191">
        <v>10000</v>
      </c>
      <c r="J23" s="192">
        <f>I23*H23</f>
        <v>200000</v>
      </c>
      <c r="K23" s="193" t="s">
        <v>109</v>
      </c>
      <c r="L23" s="193" t="s">
        <v>109</v>
      </c>
      <c r="M23" s="194" t="s">
        <v>110</v>
      </c>
      <c r="N23" s="194" t="s">
        <v>111</v>
      </c>
      <c r="O23" s="195" t="s">
        <v>112</v>
      </c>
      <c r="P23" s="59"/>
    </row>
    <row r="24" ht="30" customHeight="1" spans="1:16" x14ac:dyDescent="0.25">
      <c r="A24" s="57"/>
      <c r="B24" s="172">
        <v>2</v>
      </c>
      <c r="C24" s="185" t="s">
        <v>105</v>
      </c>
      <c r="D24" s="172"/>
      <c r="E24" s="196"/>
      <c r="F24" s="197"/>
      <c r="G24" s="172"/>
      <c r="H24" s="172"/>
      <c r="I24" s="172"/>
      <c r="J24" s="174">
        <f>I24*H24</f>
        <v>0</v>
      </c>
      <c r="K24" s="175"/>
      <c r="L24" s="175"/>
      <c r="M24" s="175"/>
      <c r="N24" s="198"/>
      <c r="O24" s="195" t="s">
        <v>113</v>
      </c>
      <c r="P24" s="59"/>
    </row>
    <row r="25" ht="30" customHeight="1" spans="1:16" x14ac:dyDescent="0.25">
      <c r="A25" s="57"/>
      <c r="B25" s="172">
        <v>3</v>
      </c>
      <c r="C25" s="185" t="s">
        <v>105</v>
      </c>
      <c r="D25" s="172"/>
      <c r="E25" s="196"/>
      <c r="F25" s="197"/>
      <c r="G25" s="172"/>
      <c r="H25" s="172"/>
      <c r="I25" s="172"/>
      <c r="J25" s="174">
        <f>I25*H25</f>
        <v>0</v>
      </c>
      <c r="K25" s="175"/>
      <c r="L25" s="175"/>
      <c r="M25" s="175"/>
      <c r="N25" s="198"/>
      <c r="O25" s="195" t="s">
        <v>114</v>
      </c>
      <c r="P25" s="59"/>
    </row>
    <row r="26" ht="30" customHeight="1" spans="1:16" x14ac:dyDescent="0.25">
      <c r="A26" s="57"/>
      <c r="B26" s="199"/>
      <c r="C26" s="200" t="s">
        <v>115</v>
      </c>
      <c r="D26" s="201"/>
      <c r="E26" s="201"/>
      <c r="F26" s="201"/>
      <c r="G26" s="201"/>
      <c r="H26" s="201"/>
      <c r="I26" s="202"/>
      <c r="J26" s="174">
        <f>SUM(J23:J25)</f>
        <v>200000</v>
      </c>
      <c r="K26" s="172" t="s">
        <v>79</v>
      </c>
      <c r="L26" s="172" t="s">
        <v>79</v>
      </c>
      <c r="M26" s="172" t="s">
        <v>79</v>
      </c>
      <c r="N26" s="172" t="s">
        <v>79</v>
      </c>
      <c r="O26" s="195" t="s">
        <v>79</v>
      </c>
      <c r="P26" s="59"/>
    </row>
    <row r="27" ht="30" customHeight="1" spans="1:16" x14ac:dyDescent="0.25">
      <c r="A27" s="57"/>
      <c r="B27" s="172">
        <v>1</v>
      </c>
      <c r="C27" s="185" t="s">
        <v>116</v>
      </c>
      <c r="D27" s="186" t="s">
        <v>117</v>
      </c>
      <c r="E27" s="203" t="s">
        <v>118</v>
      </c>
      <c r="F27" s="204"/>
      <c r="G27" s="190" t="s">
        <v>119</v>
      </c>
      <c r="H27" s="191">
        <v>60</v>
      </c>
      <c r="I27" s="205">
        <v>5000</v>
      </c>
      <c r="J27" s="192">
        <f>I27*H27</f>
        <v>300000</v>
      </c>
      <c r="K27" s="193" t="s">
        <v>109</v>
      </c>
      <c r="L27" s="193" t="s">
        <v>109</v>
      </c>
      <c r="M27" s="194" t="s">
        <v>120</v>
      </c>
      <c r="N27" s="194" t="s">
        <v>121</v>
      </c>
      <c r="O27" s="195" t="s">
        <v>122</v>
      </c>
      <c r="P27" s="59"/>
    </row>
    <row r="28" ht="30" customHeight="1" spans="1:16" x14ac:dyDescent="0.25">
      <c r="A28" s="57"/>
      <c r="B28" s="172">
        <v>2</v>
      </c>
      <c r="C28" s="185" t="s">
        <v>116</v>
      </c>
      <c r="D28" s="172"/>
      <c r="E28" s="196"/>
      <c r="F28" s="197"/>
      <c r="G28" s="172"/>
      <c r="H28" s="172"/>
      <c r="I28" s="172"/>
      <c r="J28" s="174">
        <f t="shared" ref="J28:J29" si="1">I28*H28</f>
        <v>0</v>
      </c>
      <c r="K28" s="175"/>
      <c r="L28" s="175"/>
      <c r="M28" s="175"/>
      <c r="N28" s="198"/>
      <c r="O28" s="195" t="s">
        <v>123</v>
      </c>
      <c r="P28" s="59"/>
    </row>
    <row r="29" ht="30" customHeight="1" spans="1:16" x14ac:dyDescent="0.25">
      <c r="A29" s="57"/>
      <c r="B29" s="172">
        <v>3</v>
      </c>
      <c r="C29" s="185" t="s">
        <v>116</v>
      </c>
      <c r="D29" s="172"/>
      <c r="E29" s="196"/>
      <c r="F29" s="197"/>
      <c r="G29" s="172"/>
      <c r="H29" s="172"/>
      <c r="I29" s="172"/>
      <c r="J29" s="174">
        <f t="shared" si="1"/>
        <v>0</v>
      </c>
      <c r="K29" s="175"/>
      <c r="L29" s="175"/>
      <c r="M29" s="175"/>
      <c r="N29" s="198"/>
      <c r="O29" s="195" t="s">
        <v>124</v>
      </c>
      <c r="P29" s="59"/>
    </row>
    <row r="30" ht="30" customHeight="1" spans="1:16" x14ac:dyDescent="0.25">
      <c r="A30" s="57"/>
      <c r="B30" s="199"/>
      <c r="C30" s="200" t="s">
        <v>125</v>
      </c>
      <c r="D30" s="201"/>
      <c r="E30" s="201"/>
      <c r="F30" s="201"/>
      <c r="G30" s="201"/>
      <c r="H30" s="201"/>
      <c r="I30" s="202"/>
      <c r="J30" s="174"/>
      <c r="K30" s="172" t="s">
        <v>79</v>
      </c>
      <c r="L30" s="172" t="s">
        <v>79</v>
      </c>
      <c r="M30" s="172" t="s">
        <v>79</v>
      </c>
      <c r="N30" s="172" t="s">
        <v>79</v>
      </c>
      <c r="O30" s="195" t="s">
        <v>79</v>
      </c>
      <c r="P30" s="59"/>
    </row>
    <row r="31" ht="30" customHeight="1" spans="1:16" x14ac:dyDescent="0.25">
      <c r="A31" s="57"/>
      <c r="B31" s="172">
        <v>1</v>
      </c>
      <c r="C31" s="185" t="s">
        <v>126</v>
      </c>
      <c r="D31" s="172" t="s">
        <v>127</v>
      </c>
      <c r="E31" s="196"/>
      <c r="F31" s="197"/>
      <c r="G31" s="172"/>
      <c r="H31" s="172"/>
      <c r="I31" s="172"/>
      <c r="J31" s="174">
        <f>I31*H31</f>
        <v>0</v>
      </c>
      <c r="K31" s="175"/>
      <c r="L31" s="175"/>
      <c r="M31" s="175"/>
      <c r="N31" s="198"/>
      <c r="O31" s="195" t="s">
        <v>128</v>
      </c>
      <c r="P31" s="59"/>
    </row>
    <row r="32" ht="30" customHeight="1" spans="1:16" x14ac:dyDescent="0.25">
      <c r="A32" s="57"/>
      <c r="B32" s="172">
        <v>2</v>
      </c>
      <c r="C32" s="185" t="s">
        <v>126</v>
      </c>
      <c r="D32" s="172"/>
      <c r="E32" s="196"/>
      <c r="F32" s="197"/>
      <c r="G32" s="172"/>
      <c r="H32" s="172"/>
      <c r="I32" s="172"/>
      <c r="J32" s="174">
        <f t="shared" ref="J32:J33" si="2">I32*H32</f>
        <v>0</v>
      </c>
      <c r="K32" s="175"/>
      <c r="L32" s="175"/>
      <c r="M32" s="175"/>
      <c r="N32" s="198"/>
      <c r="O32" s="195" t="s">
        <v>129</v>
      </c>
      <c r="P32" s="59"/>
    </row>
    <row r="33" ht="30" customHeight="1" spans="1:16" x14ac:dyDescent="0.25">
      <c r="A33" s="57"/>
      <c r="B33" s="172">
        <v>3</v>
      </c>
      <c r="C33" s="185" t="s">
        <v>126</v>
      </c>
      <c r="D33" s="172"/>
      <c r="E33" s="196"/>
      <c r="F33" s="197"/>
      <c r="G33" s="172"/>
      <c r="H33" s="172"/>
      <c r="I33" s="172"/>
      <c r="J33" s="174">
        <f t="shared" si="2"/>
        <v>0</v>
      </c>
      <c r="K33" s="175"/>
      <c r="L33" s="175"/>
      <c r="M33" s="175"/>
      <c r="N33" s="198"/>
      <c r="O33" s="195" t="s">
        <v>130</v>
      </c>
      <c r="P33" s="59"/>
    </row>
    <row r="34" ht="30" customHeight="1" spans="1:16" x14ac:dyDescent="0.25">
      <c r="A34" s="57"/>
      <c r="B34" s="199"/>
      <c r="C34" s="200" t="s">
        <v>131</v>
      </c>
      <c r="D34" s="201"/>
      <c r="E34" s="201"/>
      <c r="F34" s="201"/>
      <c r="G34" s="201"/>
      <c r="H34" s="201"/>
      <c r="I34" s="202"/>
      <c r="J34" s="174">
        <f>SUM(J31:J33)</f>
        <v>0</v>
      </c>
      <c r="K34" s="172" t="s">
        <v>79</v>
      </c>
      <c r="L34" s="172" t="s">
        <v>79</v>
      </c>
      <c r="M34" s="172" t="s">
        <v>79</v>
      </c>
      <c r="N34" s="172" t="s">
        <v>79</v>
      </c>
      <c r="O34" s="195" t="s">
        <v>79</v>
      </c>
      <c r="P34" s="59"/>
    </row>
    <row r="35" ht="30" customHeight="1" spans="1:16" x14ac:dyDescent="0.25">
      <c r="A35" s="57"/>
      <c r="B35" s="172">
        <v>1</v>
      </c>
      <c r="C35" s="185" t="s">
        <v>132</v>
      </c>
      <c r="D35" s="172"/>
      <c r="E35" s="196"/>
      <c r="F35" s="197"/>
      <c r="G35" s="172"/>
      <c r="H35" s="172"/>
      <c r="I35" s="172"/>
      <c r="J35" s="174">
        <f>I35*H35</f>
        <v>0</v>
      </c>
      <c r="K35" s="175"/>
      <c r="L35" s="175"/>
      <c r="M35" s="175"/>
      <c r="N35" s="198"/>
      <c r="O35" s="195" t="s">
        <v>133</v>
      </c>
      <c r="P35" s="59"/>
    </row>
    <row r="36" ht="30" customHeight="1" spans="1:16" x14ac:dyDescent="0.25">
      <c r="A36" s="57"/>
      <c r="B36" s="172">
        <v>2</v>
      </c>
      <c r="C36" s="185" t="s">
        <v>132</v>
      </c>
      <c r="D36" s="172"/>
      <c r="E36" s="196"/>
      <c r="F36" s="197"/>
      <c r="G36" s="172"/>
      <c r="H36" s="172"/>
      <c r="I36" s="172"/>
      <c r="J36" s="174">
        <f t="shared" ref="J36:J37" si="3">I36*H36</f>
        <v>0</v>
      </c>
      <c r="K36" s="175"/>
      <c r="L36" s="175"/>
      <c r="M36" s="175"/>
      <c r="N36" s="198"/>
      <c r="O36" s="195" t="s">
        <v>134</v>
      </c>
      <c r="P36" s="59"/>
    </row>
    <row r="37" ht="30" customHeight="1" spans="1:16" x14ac:dyDescent="0.25">
      <c r="A37" s="57"/>
      <c r="B37" s="172">
        <v>3</v>
      </c>
      <c r="C37" s="185" t="s">
        <v>132</v>
      </c>
      <c r="D37" s="172"/>
      <c r="E37" s="196"/>
      <c r="F37" s="197"/>
      <c r="G37" s="172"/>
      <c r="H37" s="172"/>
      <c r="I37" s="172"/>
      <c r="J37" s="174">
        <f t="shared" si="3"/>
        <v>0</v>
      </c>
      <c r="K37" s="175"/>
      <c r="L37" s="175"/>
      <c r="M37" s="175"/>
      <c r="N37" s="198"/>
      <c r="O37" s="195" t="s">
        <v>135</v>
      </c>
      <c r="P37" s="59"/>
    </row>
    <row r="38" ht="30" customHeight="1" spans="1:16" x14ac:dyDescent="0.25">
      <c r="A38" s="57"/>
      <c r="B38" s="196"/>
      <c r="C38" s="200" t="s">
        <v>136</v>
      </c>
      <c r="D38" s="201"/>
      <c r="E38" s="201"/>
      <c r="F38" s="201"/>
      <c r="G38" s="201"/>
      <c r="H38" s="201"/>
      <c r="I38" s="202"/>
      <c r="J38" s="174">
        <f>SUM(J35:J37)</f>
        <v>0</v>
      </c>
      <c r="K38" s="172" t="s">
        <v>79</v>
      </c>
      <c r="L38" s="172" t="s">
        <v>79</v>
      </c>
      <c r="M38" s="172" t="s">
        <v>79</v>
      </c>
      <c r="N38" s="172" t="s">
        <v>79</v>
      </c>
      <c r="O38" s="195" t="s">
        <v>79</v>
      </c>
      <c r="P38" s="59"/>
    </row>
    <row r="39" ht="30" customHeight="1" spans="1:16" x14ac:dyDescent="0.25">
      <c r="A39" s="57"/>
      <c r="B39" s="172">
        <v>1</v>
      </c>
      <c r="C39" s="185" t="s">
        <v>137</v>
      </c>
      <c r="D39" s="172"/>
      <c r="E39" s="196"/>
      <c r="F39" s="197"/>
      <c r="G39" s="172"/>
      <c r="H39" s="172"/>
      <c r="I39" s="172"/>
      <c r="J39" s="174">
        <f>I39*H39</f>
        <v>0</v>
      </c>
      <c r="K39" s="175"/>
      <c r="L39" s="175"/>
      <c r="M39" s="175"/>
      <c r="N39" s="198"/>
      <c r="O39" s="195" t="s">
        <v>138</v>
      </c>
      <c r="P39" s="59"/>
    </row>
    <row r="40" ht="30" customHeight="1" spans="1:16" x14ac:dyDescent="0.25">
      <c r="A40" s="57"/>
      <c r="B40" s="172">
        <v>2</v>
      </c>
      <c r="C40" s="185" t="s">
        <v>137</v>
      </c>
      <c r="D40" s="172"/>
      <c r="E40" s="196"/>
      <c r="F40" s="197"/>
      <c r="G40" s="172"/>
      <c r="H40" s="172"/>
      <c r="I40" s="172"/>
      <c r="J40" s="174">
        <f t="shared" ref="J40:J41" si="4">I40*H40</f>
        <v>0</v>
      </c>
      <c r="K40" s="175"/>
      <c r="L40" s="175"/>
      <c r="M40" s="175"/>
      <c r="N40" s="198"/>
      <c r="O40" s="195" t="s">
        <v>139</v>
      </c>
      <c r="P40" s="59"/>
    </row>
    <row r="41" ht="30" customHeight="1" spans="1:16" x14ac:dyDescent="0.25">
      <c r="A41" s="57"/>
      <c r="B41" s="172">
        <v>3</v>
      </c>
      <c r="C41" s="185" t="s">
        <v>137</v>
      </c>
      <c r="D41" s="172"/>
      <c r="E41" s="196"/>
      <c r="F41" s="197"/>
      <c r="G41" s="172"/>
      <c r="H41" s="172"/>
      <c r="I41" s="172"/>
      <c r="J41" s="174">
        <f t="shared" si="4"/>
        <v>0</v>
      </c>
      <c r="K41" s="175"/>
      <c r="L41" s="175"/>
      <c r="M41" s="175"/>
      <c r="N41" s="198"/>
      <c r="O41" s="195" t="s">
        <v>140</v>
      </c>
      <c r="P41" s="59"/>
    </row>
    <row r="42" ht="30" customHeight="1" spans="1:16" x14ac:dyDescent="0.25">
      <c r="A42" s="57"/>
      <c r="B42" s="196"/>
      <c r="C42" s="200" t="s">
        <v>141</v>
      </c>
      <c r="D42" s="201"/>
      <c r="E42" s="201"/>
      <c r="F42" s="201"/>
      <c r="G42" s="201"/>
      <c r="H42" s="201"/>
      <c r="I42" s="202"/>
      <c r="J42" s="174">
        <f>SUM(J39:J41)</f>
        <v>0</v>
      </c>
      <c r="K42" s="172" t="s">
        <v>79</v>
      </c>
      <c r="L42" s="172" t="s">
        <v>79</v>
      </c>
      <c r="M42" s="172" t="s">
        <v>79</v>
      </c>
      <c r="N42" s="172" t="s">
        <v>79</v>
      </c>
      <c r="O42" s="195" t="s">
        <v>79</v>
      </c>
      <c r="P42" s="59"/>
    </row>
    <row r="43" ht="30" customHeight="1" spans="1:16" x14ac:dyDescent="0.25">
      <c r="A43" s="57"/>
      <c r="B43" s="172">
        <v>1</v>
      </c>
      <c r="C43" s="185" t="s">
        <v>142</v>
      </c>
      <c r="D43" s="172"/>
      <c r="E43" s="196"/>
      <c r="F43" s="197"/>
      <c r="G43" s="172"/>
      <c r="H43" s="172"/>
      <c r="I43" s="172"/>
      <c r="J43" s="174">
        <f>I43*H43</f>
        <v>0</v>
      </c>
      <c r="K43" s="175"/>
      <c r="L43" s="175"/>
      <c r="M43" s="175"/>
      <c r="N43" s="198"/>
      <c r="O43" s="195" t="s">
        <v>143</v>
      </c>
      <c r="P43" s="59"/>
    </row>
    <row r="44" ht="30" customHeight="1" spans="1:16" x14ac:dyDescent="0.25">
      <c r="A44" s="57"/>
      <c r="B44" s="172">
        <v>2</v>
      </c>
      <c r="C44" s="185" t="s">
        <v>142</v>
      </c>
      <c r="D44" s="172"/>
      <c r="E44" s="196"/>
      <c r="F44" s="197"/>
      <c r="G44" s="172"/>
      <c r="H44" s="172"/>
      <c r="I44" s="172"/>
      <c r="J44" s="174">
        <f t="shared" ref="J44:J45" si="5">I44*H44</f>
        <v>0</v>
      </c>
      <c r="K44" s="175"/>
      <c r="L44" s="175"/>
      <c r="M44" s="175"/>
      <c r="N44" s="198"/>
      <c r="O44" s="195" t="s">
        <v>144</v>
      </c>
      <c r="P44" s="59"/>
    </row>
    <row r="45" ht="30" customHeight="1" spans="1:16" x14ac:dyDescent="0.25">
      <c r="A45" s="57"/>
      <c r="B45" s="172">
        <v>3</v>
      </c>
      <c r="C45" s="185" t="s">
        <v>142</v>
      </c>
      <c r="D45" s="172"/>
      <c r="E45" s="196"/>
      <c r="F45" s="197"/>
      <c r="G45" s="172"/>
      <c r="H45" s="172"/>
      <c r="I45" s="172"/>
      <c r="J45" s="174">
        <f t="shared" si="5"/>
        <v>0</v>
      </c>
      <c r="K45" s="175"/>
      <c r="L45" s="175"/>
      <c r="M45" s="175"/>
      <c r="N45" s="198"/>
      <c r="O45" s="195" t="s">
        <v>145</v>
      </c>
      <c r="P45" s="59"/>
    </row>
    <row r="46" ht="30" customHeight="1" spans="1:16" x14ac:dyDescent="0.25">
      <c r="A46" s="57"/>
      <c r="B46" s="196"/>
      <c r="C46" s="200" t="s">
        <v>146</v>
      </c>
      <c r="D46" s="201"/>
      <c r="E46" s="201"/>
      <c r="F46" s="201"/>
      <c r="G46" s="201"/>
      <c r="H46" s="201"/>
      <c r="I46" s="202"/>
      <c r="J46" s="174">
        <f>SUM(J43:J45)</f>
        <v>0</v>
      </c>
      <c r="K46" s="172" t="s">
        <v>79</v>
      </c>
      <c r="L46" s="172" t="s">
        <v>79</v>
      </c>
      <c r="M46" s="172" t="s">
        <v>79</v>
      </c>
      <c r="N46" s="172" t="s">
        <v>79</v>
      </c>
      <c r="O46" s="172" t="s">
        <v>79</v>
      </c>
      <c r="P46" s="59"/>
    </row>
    <row r="47" ht="30" customHeight="1" spans="1:16" x14ac:dyDescent="0.25">
      <c r="A47" s="57"/>
      <c r="B47" s="206" t="s">
        <v>147</v>
      </c>
      <c r="C47" s="207"/>
      <c r="D47" s="207"/>
      <c r="E47" s="207"/>
      <c r="F47" s="207"/>
      <c r="G47" s="207"/>
      <c r="H47" s="207"/>
      <c r="I47" s="208"/>
      <c r="J47" s="209">
        <f>SUM(J26,J30,J34,J38,J46, J42)</f>
        <v>200000</v>
      </c>
      <c r="K47" s="172" t="s">
        <v>79</v>
      </c>
      <c r="L47" s="172" t="s">
        <v>79</v>
      </c>
      <c r="M47" s="172" t="s">
        <v>79</v>
      </c>
      <c r="N47" s="172" t="s">
        <v>79</v>
      </c>
      <c r="O47" s="172" t="s">
        <v>79</v>
      </c>
      <c r="P47" s="59"/>
    </row>
    <row r="48" spans="1:16" x14ac:dyDescent="0.25">
      <c r="A48" s="57"/>
      <c r="P48" s="59"/>
    </row>
    <row r="49" ht="20" customHeight="1" spans="1:16" x14ac:dyDescent="0.25">
      <c r="A49" s="57"/>
      <c r="B49" s="155" t="s">
        <v>148</v>
      </c>
      <c r="C49" s="155"/>
      <c r="D49" s="155"/>
      <c r="E49" s="155"/>
      <c r="F49" s="155"/>
      <c r="G49" s="155"/>
      <c r="H49" s="155"/>
      <c r="I49" s="155"/>
      <c r="J49" s="155"/>
      <c r="O49" s="165" t="s">
        <v>85</v>
      </c>
      <c r="P49" s="59"/>
    </row>
    <row r="50" ht="16.5" customHeight="1" spans="1:16" x14ac:dyDescent="0.25">
      <c r="A50" s="57"/>
      <c r="B50" s="167" t="s">
        <v>86</v>
      </c>
      <c r="C50" s="167" t="s">
        <v>87</v>
      </c>
      <c r="D50" s="167" t="s">
        <v>88</v>
      </c>
      <c r="E50" s="181" t="s">
        <v>103</v>
      </c>
      <c r="F50" s="182"/>
      <c r="G50" s="167" t="s">
        <v>90</v>
      </c>
      <c r="H50" s="167" t="s">
        <v>104</v>
      </c>
      <c r="I50" s="167" t="s">
        <v>92</v>
      </c>
      <c r="J50" s="168" t="s">
        <v>94</v>
      </c>
      <c r="K50" s="210" t="s">
        <v>95</v>
      </c>
      <c r="L50" s="210" t="s">
        <v>96</v>
      </c>
      <c r="M50" s="167" t="s">
        <v>97</v>
      </c>
      <c r="N50" s="167" t="s">
        <v>98</v>
      </c>
      <c r="O50" s="167" t="s">
        <v>99</v>
      </c>
      <c r="P50" s="59"/>
    </row>
    <row r="51" spans="1:16" x14ac:dyDescent="0.25">
      <c r="A51" s="57"/>
      <c r="B51" s="170"/>
      <c r="C51" s="170"/>
      <c r="D51" s="170"/>
      <c r="E51" s="183"/>
      <c r="F51" s="184"/>
      <c r="G51" s="170"/>
      <c r="H51" s="170"/>
      <c r="I51" s="170"/>
      <c r="J51" s="171"/>
      <c r="K51" s="211"/>
      <c r="L51" s="211"/>
      <c r="M51" s="170"/>
      <c r="N51" s="170"/>
      <c r="O51" s="170"/>
      <c r="P51" s="59"/>
    </row>
    <row r="52" ht="30" customHeight="1" spans="1:16" x14ac:dyDescent="0.25">
      <c r="A52" s="57"/>
      <c r="B52" s="172">
        <v>1</v>
      </c>
      <c r="C52" s="185" t="s">
        <v>51</v>
      </c>
      <c r="D52" s="172"/>
      <c r="E52" s="196"/>
      <c r="F52" s="197"/>
      <c r="G52" s="172"/>
      <c r="H52" s="172"/>
      <c r="I52" s="172"/>
      <c r="J52" s="174">
        <f>I52*H52</f>
        <v>0</v>
      </c>
      <c r="K52" s="175"/>
      <c r="L52" s="175"/>
      <c r="M52" s="175"/>
      <c r="N52" s="175"/>
      <c r="O52" s="175"/>
      <c r="P52" s="59"/>
    </row>
    <row r="53" ht="30" customHeight="1" spans="1:16" x14ac:dyDescent="0.25">
      <c r="A53" s="57"/>
      <c r="B53" s="172">
        <v>2</v>
      </c>
      <c r="C53" s="185" t="s">
        <v>51</v>
      </c>
      <c r="D53" s="172"/>
      <c r="E53" s="196"/>
      <c r="F53" s="197"/>
      <c r="G53" s="172"/>
      <c r="H53" s="172"/>
      <c r="I53" s="172"/>
      <c r="J53" s="174">
        <f>I53*H53</f>
        <v>0</v>
      </c>
      <c r="K53" s="175"/>
      <c r="L53" s="175"/>
      <c r="M53" s="175"/>
      <c r="N53" s="175"/>
      <c r="O53" s="175"/>
      <c r="P53" s="59"/>
    </row>
    <row r="54" ht="30" customHeight="1" spans="1:16" x14ac:dyDescent="0.25">
      <c r="A54" s="57"/>
      <c r="B54" s="172">
        <v>3</v>
      </c>
      <c r="C54" s="185" t="s">
        <v>51</v>
      </c>
      <c r="D54" s="172"/>
      <c r="E54" s="196"/>
      <c r="F54" s="197"/>
      <c r="G54" s="172"/>
      <c r="H54" s="172"/>
      <c r="I54" s="172"/>
      <c r="J54" s="174">
        <f>I54*H54</f>
        <v>0</v>
      </c>
      <c r="K54" s="175"/>
      <c r="L54" s="175"/>
      <c r="M54" s="175"/>
      <c r="N54" s="175"/>
      <c r="O54" s="175"/>
      <c r="P54" s="59"/>
    </row>
    <row r="55" ht="30" customHeight="1" spans="1:16" x14ac:dyDescent="0.25">
      <c r="A55" s="57"/>
      <c r="B55" s="206" t="s">
        <v>149</v>
      </c>
      <c r="C55" s="207"/>
      <c r="D55" s="207"/>
      <c r="E55" s="207"/>
      <c r="F55" s="207"/>
      <c r="G55" s="207"/>
      <c r="H55" s="207"/>
      <c r="I55" s="208"/>
      <c r="J55" s="209">
        <f>SUM(J52:J54)</f>
        <v>0</v>
      </c>
      <c r="K55" s="172" t="s">
        <v>79</v>
      </c>
      <c r="L55" s="172" t="s">
        <v>79</v>
      </c>
      <c r="M55" s="172" t="s">
        <v>79</v>
      </c>
      <c r="N55" s="172" t="s">
        <v>79</v>
      </c>
      <c r="O55" s="172" t="s">
        <v>79</v>
      </c>
      <c r="P55" s="59"/>
    </row>
    <row r="56" spans="1:16" x14ac:dyDescent="0.25">
      <c r="A56" s="57"/>
      <c r="P56" s="59"/>
    </row>
    <row r="57" ht="20" customHeight="1" spans="1:16" x14ac:dyDescent="0.25">
      <c r="A57" s="57"/>
      <c r="B57" s="155" t="s">
        <v>150</v>
      </c>
      <c r="C57" s="155"/>
      <c r="D57" s="155"/>
      <c r="E57" s="155"/>
      <c r="F57" s="155"/>
      <c r="G57" s="155"/>
      <c r="H57" s="155"/>
      <c r="I57" s="155"/>
      <c r="J57" s="155"/>
      <c r="O57" s="165" t="s">
        <v>85</v>
      </c>
      <c r="P57" s="59"/>
    </row>
    <row r="58" spans="1:16" x14ac:dyDescent="0.25">
      <c r="A58" s="57"/>
      <c r="B58" s="166" t="s">
        <v>86</v>
      </c>
      <c r="C58" s="166" t="s">
        <v>87</v>
      </c>
      <c r="D58" s="167" t="s">
        <v>88</v>
      </c>
      <c r="E58" s="181" t="s">
        <v>103</v>
      </c>
      <c r="F58" s="182"/>
      <c r="G58" s="167" t="s">
        <v>90</v>
      </c>
      <c r="H58" s="167" t="s">
        <v>104</v>
      </c>
      <c r="I58" s="167" t="s">
        <v>92</v>
      </c>
      <c r="J58" s="168" t="s">
        <v>94</v>
      </c>
      <c r="K58" s="169" t="s">
        <v>95</v>
      </c>
      <c r="L58" s="169" t="s">
        <v>96</v>
      </c>
      <c r="M58" s="166" t="s">
        <v>97</v>
      </c>
      <c r="N58" s="166" t="s">
        <v>98</v>
      </c>
      <c r="O58" s="166" t="s">
        <v>99</v>
      </c>
      <c r="P58" s="59"/>
    </row>
    <row r="59" spans="1:16" x14ac:dyDescent="0.25">
      <c r="A59" s="57"/>
      <c r="B59" s="169"/>
      <c r="C59" s="169"/>
      <c r="D59" s="170"/>
      <c r="E59" s="183"/>
      <c r="F59" s="184"/>
      <c r="G59" s="170"/>
      <c r="H59" s="170"/>
      <c r="I59" s="170"/>
      <c r="J59" s="171"/>
      <c r="K59" s="169"/>
      <c r="L59" s="169"/>
      <c r="M59" s="169"/>
      <c r="N59" s="169"/>
      <c r="O59" s="169"/>
      <c r="P59" s="59"/>
    </row>
    <row r="60" ht="30" customHeight="1" spans="1:16" x14ac:dyDescent="0.25">
      <c r="A60" s="57"/>
      <c r="B60" s="172">
        <v>1</v>
      </c>
      <c r="C60" s="185" t="s">
        <v>151</v>
      </c>
      <c r="D60" s="172"/>
      <c r="E60" s="196"/>
      <c r="F60" s="197"/>
      <c r="G60" s="172"/>
      <c r="H60" s="172"/>
      <c r="I60" s="172"/>
      <c r="J60" s="174">
        <f>I60*H60</f>
        <v>0</v>
      </c>
      <c r="K60" s="175"/>
      <c r="L60" s="175"/>
      <c r="M60" s="175"/>
      <c r="N60" s="175"/>
      <c r="O60" s="175"/>
      <c r="P60" s="59"/>
    </row>
    <row r="61" ht="30" customHeight="1" spans="1:16" x14ac:dyDescent="0.25">
      <c r="A61" s="57"/>
      <c r="B61" s="172">
        <v>2</v>
      </c>
      <c r="C61" s="185" t="s">
        <v>151</v>
      </c>
      <c r="D61" s="172"/>
      <c r="E61" s="196"/>
      <c r="F61" s="197"/>
      <c r="G61" s="172"/>
      <c r="H61" s="172"/>
      <c r="I61" s="172"/>
      <c r="J61" s="174">
        <f>I61*H61</f>
        <v>0</v>
      </c>
      <c r="K61" s="175"/>
      <c r="L61" s="175"/>
      <c r="M61" s="175"/>
      <c r="N61" s="175"/>
      <c r="O61" s="175"/>
      <c r="P61" s="59"/>
    </row>
    <row r="62" ht="30" customHeight="1" spans="1:16" x14ac:dyDescent="0.25">
      <c r="A62" s="57"/>
      <c r="B62" s="172">
        <v>3</v>
      </c>
      <c r="C62" s="185" t="s">
        <v>151</v>
      </c>
      <c r="D62" s="172"/>
      <c r="E62" s="196"/>
      <c r="F62" s="197"/>
      <c r="G62" s="172"/>
      <c r="H62" s="172"/>
      <c r="I62" s="172"/>
      <c r="J62" s="174">
        <f>I62*H62</f>
        <v>0</v>
      </c>
      <c r="K62" s="175"/>
      <c r="L62" s="175"/>
      <c r="M62" s="175"/>
      <c r="N62" s="175"/>
      <c r="O62" s="175"/>
      <c r="P62" s="59"/>
    </row>
    <row r="63" ht="30" customHeight="1" spans="1:16" x14ac:dyDescent="0.25">
      <c r="A63" s="57"/>
      <c r="B63" s="206" t="s">
        <v>152</v>
      </c>
      <c r="C63" s="207"/>
      <c r="D63" s="207"/>
      <c r="E63" s="207"/>
      <c r="F63" s="207"/>
      <c r="G63" s="207"/>
      <c r="H63" s="207"/>
      <c r="I63" s="208"/>
      <c r="J63" s="209">
        <f>SUM(J60:J62)</f>
        <v>0</v>
      </c>
      <c r="K63" s="172" t="s">
        <v>79</v>
      </c>
      <c r="L63" s="172" t="s">
        <v>79</v>
      </c>
      <c r="M63" s="172" t="s">
        <v>79</v>
      </c>
      <c r="N63" s="172" t="s">
        <v>79</v>
      </c>
      <c r="O63" s="172" t="s">
        <v>79</v>
      </c>
      <c r="P63" s="59"/>
    </row>
    <row r="64" spans="1:16" x14ac:dyDescent="0.25">
      <c r="A64" s="57"/>
      <c r="P64" s="59"/>
    </row>
    <row r="65" ht="20" customHeight="1" spans="1:16" x14ac:dyDescent="0.25">
      <c r="A65" s="57"/>
      <c r="B65" s="155" t="s">
        <v>153</v>
      </c>
      <c r="C65" s="155"/>
      <c r="D65" s="155"/>
      <c r="E65" s="155"/>
      <c r="F65" s="155"/>
      <c r="G65" s="155"/>
      <c r="H65" s="155"/>
      <c r="I65" s="155"/>
      <c r="J65" s="155"/>
      <c r="O65" s="165" t="s">
        <v>85</v>
      </c>
      <c r="P65" s="59"/>
    </row>
    <row r="66" spans="1:16" x14ac:dyDescent="0.25">
      <c r="A66" s="57"/>
      <c r="B66" s="166" t="s">
        <v>86</v>
      </c>
      <c r="C66" s="166" t="s">
        <v>87</v>
      </c>
      <c r="D66" s="167" t="s">
        <v>88</v>
      </c>
      <c r="E66" s="181" t="s">
        <v>103</v>
      </c>
      <c r="F66" s="182"/>
      <c r="G66" s="167" t="s">
        <v>90</v>
      </c>
      <c r="H66" s="167" t="s">
        <v>104</v>
      </c>
      <c r="I66" s="167" t="s">
        <v>92</v>
      </c>
      <c r="J66" s="168" t="s">
        <v>94</v>
      </c>
      <c r="K66" s="169" t="s">
        <v>95</v>
      </c>
      <c r="L66" s="169" t="s">
        <v>96</v>
      </c>
      <c r="M66" s="166" t="s">
        <v>97</v>
      </c>
      <c r="N66" s="166" t="s">
        <v>98</v>
      </c>
      <c r="O66" s="166" t="s">
        <v>99</v>
      </c>
      <c r="P66" s="59"/>
    </row>
    <row r="67" spans="1:16" x14ac:dyDescent="0.25">
      <c r="A67" s="57"/>
      <c r="B67" s="169"/>
      <c r="C67" s="169"/>
      <c r="D67" s="170"/>
      <c r="E67" s="183"/>
      <c r="F67" s="184"/>
      <c r="G67" s="170"/>
      <c r="H67" s="170"/>
      <c r="I67" s="170"/>
      <c r="J67" s="171"/>
      <c r="K67" s="169"/>
      <c r="L67" s="169"/>
      <c r="M67" s="169"/>
      <c r="N67" s="169"/>
      <c r="O67" s="169"/>
      <c r="P67" s="59"/>
    </row>
    <row r="68" ht="30" customHeight="1" spans="1:16" x14ac:dyDescent="0.25">
      <c r="A68" s="57"/>
      <c r="B68" s="172">
        <v>1</v>
      </c>
      <c r="C68" s="185" t="s">
        <v>52</v>
      </c>
      <c r="D68" s="190" t="s">
        <v>154</v>
      </c>
      <c r="E68" s="196"/>
      <c r="F68" s="197"/>
      <c r="G68" s="172"/>
      <c r="H68" s="172"/>
      <c r="I68" s="172"/>
      <c r="J68" s="174">
        <f>I68*H68</f>
        <v>0</v>
      </c>
      <c r="K68" s="175"/>
      <c r="L68" s="175"/>
      <c r="M68" s="175"/>
      <c r="N68" s="198"/>
      <c r="O68" s="195" t="s">
        <v>143</v>
      </c>
      <c r="P68" s="59"/>
    </row>
    <row r="69" ht="30" customHeight="1" spans="1:16" x14ac:dyDescent="0.25">
      <c r="A69" s="57"/>
      <c r="B69" s="172">
        <v>2</v>
      </c>
      <c r="C69" s="185" t="s">
        <v>52</v>
      </c>
      <c r="D69" s="172"/>
      <c r="E69" s="196"/>
      <c r="F69" s="197"/>
      <c r="G69" s="172"/>
      <c r="H69" s="172"/>
      <c r="I69" s="172"/>
      <c r="J69" s="174">
        <f>I69*H69</f>
        <v>0</v>
      </c>
      <c r="K69" s="175"/>
      <c r="L69" s="175"/>
      <c r="M69" s="175"/>
      <c r="N69" s="198"/>
      <c r="O69" s="195" t="s">
        <v>144</v>
      </c>
      <c r="P69" s="59"/>
    </row>
    <row r="70" ht="30" customHeight="1" spans="1:16" x14ac:dyDescent="0.25">
      <c r="A70" s="57"/>
      <c r="B70" s="172">
        <v>3</v>
      </c>
      <c r="C70" s="185" t="s">
        <v>52</v>
      </c>
      <c r="D70" s="172"/>
      <c r="E70" s="196"/>
      <c r="F70" s="197"/>
      <c r="G70" s="172"/>
      <c r="H70" s="172"/>
      <c r="I70" s="172"/>
      <c r="J70" s="174">
        <f>I70*H70</f>
        <v>0</v>
      </c>
      <c r="K70" s="175"/>
      <c r="L70" s="175"/>
      <c r="M70" s="175"/>
      <c r="N70" s="198"/>
      <c r="O70" s="195" t="s">
        <v>145</v>
      </c>
      <c r="P70" s="59"/>
    </row>
    <row r="71" ht="30" customHeight="1" spans="1:16" x14ac:dyDescent="0.25">
      <c r="A71" s="57"/>
      <c r="B71" s="206" t="s">
        <v>155</v>
      </c>
      <c r="C71" s="207"/>
      <c r="D71" s="207"/>
      <c r="E71" s="207"/>
      <c r="F71" s="207"/>
      <c r="G71" s="207"/>
      <c r="H71" s="207"/>
      <c r="I71" s="208"/>
      <c r="J71" s="209">
        <f>SUM(J68:J70)</f>
        <v>0</v>
      </c>
      <c r="K71" s="172" t="s">
        <v>79</v>
      </c>
      <c r="L71" s="172" t="s">
        <v>79</v>
      </c>
      <c r="M71" s="172" t="s">
        <v>79</v>
      </c>
      <c r="N71" s="172" t="s">
        <v>79</v>
      </c>
      <c r="O71" s="172" t="s">
        <v>79</v>
      </c>
      <c r="P71" s="59"/>
    </row>
    <row r="72" spans="1:16" x14ac:dyDescent="0.25">
      <c r="A72" s="57"/>
      <c r="P72" s="59"/>
    </row>
    <row r="73" ht="20" customHeight="1" spans="1:16" x14ac:dyDescent="0.25">
      <c r="A73" s="57"/>
      <c r="B73" s="155" t="s">
        <v>156</v>
      </c>
      <c r="C73" s="155"/>
      <c r="D73" s="155"/>
      <c r="E73" s="155"/>
      <c r="F73" s="155"/>
      <c r="G73" s="155"/>
      <c r="H73" s="155"/>
      <c r="I73" s="155"/>
      <c r="J73" s="155"/>
      <c r="O73" s="165" t="s">
        <v>85</v>
      </c>
      <c r="P73" s="59"/>
    </row>
    <row r="74" spans="1:16" x14ac:dyDescent="0.25">
      <c r="A74" s="57"/>
      <c r="B74" s="166" t="s">
        <v>86</v>
      </c>
      <c r="C74" s="166" t="s">
        <v>87</v>
      </c>
      <c r="D74" s="167" t="s">
        <v>88</v>
      </c>
      <c r="E74" s="181" t="s">
        <v>103</v>
      </c>
      <c r="F74" s="182"/>
      <c r="G74" s="167" t="s">
        <v>90</v>
      </c>
      <c r="H74" s="167" t="s">
        <v>104</v>
      </c>
      <c r="I74" s="167" t="s">
        <v>92</v>
      </c>
      <c r="J74" s="168" t="s">
        <v>94</v>
      </c>
      <c r="K74" s="169" t="s">
        <v>95</v>
      </c>
      <c r="L74" s="169" t="s">
        <v>96</v>
      </c>
      <c r="M74" s="166" t="s">
        <v>97</v>
      </c>
      <c r="N74" s="166" t="s">
        <v>98</v>
      </c>
      <c r="O74" s="166" t="s">
        <v>99</v>
      </c>
      <c r="P74" s="59"/>
    </row>
    <row r="75" spans="1:16" x14ac:dyDescent="0.25">
      <c r="A75" s="57"/>
      <c r="B75" s="169"/>
      <c r="C75" s="169"/>
      <c r="D75" s="170"/>
      <c r="E75" s="183"/>
      <c r="F75" s="184"/>
      <c r="G75" s="170"/>
      <c r="H75" s="170"/>
      <c r="I75" s="170"/>
      <c r="J75" s="171"/>
      <c r="K75" s="169"/>
      <c r="L75" s="169"/>
      <c r="M75" s="169"/>
      <c r="N75" s="169"/>
      <c r="O75" s="169"/>
      <c r="P75" s="59"/>
    </row>
    <row r="76" ht="18" customHeight="1" spans="1:16" x14ac:dyDescent="0.25">
      <c r="A76" s="57"/>
      <c r="B76" s="172">
        <v>1</v>
      </c>
      <c r="C76" s="185" t="s">
        <v>157</v>
      </c>
      <c r="D76" s="172"/>
      <c r="E76" s="196"/>
      <c r="F76" s="197"/>
      <c r="G76" s="172"/>
      <c r="H76" s="172"/>
      <c r="I76" s="172"/>
      <c r="J76" s="174">
        <f>I76*H76</f>
        <v>0</v>
      </c>
      <c r="K76" s="175"/>
      <c r="L76" s="175"/>
      <c r="M76" s="175"/>
      <c r="N76" s="175"/>
      <c r="O76" s="175"/>
      <c r="P76" s="59"/>
    </row>
    <row r="77" ht="18" customHeight="1" spans="1:16" x14ac:dyDescent="0.25">
      <c r="A77" s="57"/>
      <c r="B77" s="172">
        <v>2</v>
      </c>
      <c r="C77" s="185" t="s">
        <v>157</v>
      </c>
      <c r="D77" s="172"/>
      <c r="E77" s="196"/>
      <c r="F77" s="197"/>
      <c r="G77" s="172"/>
      <c r="H77" s="172"/>
      <c r="I77" s="172"/>
      <c r="J77" s="174">
        <f>I77*H77</f>
        <v>0</v>
      </c>
      <c r="K77" s="175"/>
      <c r="L77" s="175"/>
      <c r="M77" s="175"/>
      <c r="N77" s="175"/>
      <c r="O77" s="175"/>
      <c r="P77" s="59"/>
    </row>
    <row r="78" ht="18" customHeight="1" spans="1:16" x14ac:dyDescent="0.25">
      <c r="A78" s="57"/>
      <c r="B78" s="172">
        <v>3</v>
      </c>
      <c r="C78" s="185" t="s">
        <v>157</v>
      </c>
      <c r="D78" s="172"/>
      <c r="E78" s="196"/>
      <c r="F78" s="197"/>
      <c r="G78" s="172"/>
      <c r="H78" s="172"/>
      <c r="I78" s="172"/>
      <c r="J78" s="174">
        <f>I78*H78</f>
        <v>0</v>
      </c>
      <c r="K78" s="175"/>
      <c r="L78" s="175"/>
      <c r="M78" s="175"/>
      <c r="N78" s="175"/>
      <c r="O78" s="175"/>
      <c r="P78" s="59"/>
    </row>
    <row r="79" spans="1:16" x14ac:dyDescent="0.25">
      <c r="A79" s="57"/>
      <c r="B79" s="206" t="s">
        <v>158</v>
      </c>
      <c r="C79" s="207"/>
      <c r="D79" s="207"/>
      <c r="E79" s="207"/>
      <c r="F79" s="207"/>
      <c r="G79" s="207"/>
      <c r="H79" s="207"/>
      <c r="I79" s="208"/>
      <c r="J79" s="209">
        <f>SUM(J76:J78)</f>
        <v>0</v>
      </c>
      <c r="K79" s="172" t="s">
        <v>79</v>
      </c>
      <c r="L79" s="172" t="s">
        <v>79</v>
      </c>
      <c r="M79" s="172" t="s">
        <v>79</v>
      </c>
      <c r="N79" s="172" t="s">
        <v>79</v>
      </c>
      <c r="O79" s="172" t="s">
        <v>79</v>
      </c>
      <c r="P79" s="59"/>
    </row>
    <row r="80" spans="1:16" x14ac:dyDescent="0.25">
      <c r="A80" s="57"/>
      <c r="B80" s="212"/>
      <c r="C80" s="212"/>
      <c r="D80" s="212"/>
      <c r="E80" s="212"/>
      <c r="F80" s="212"/>
      <c r="G80" s="212"/>
      <c r="H80" s="212"/>
      <c r="I80" s="212"/>
      <c r="J80" s="213"/>
      <c r="K80" s="214"/>
      <c r="L80" s="214"/>
      <c r="M80" s="214"/>
      <c r="N80" s="214"/>
      <c r="O80" s="214"/>
      <c r="P80" s="59"/>
    </row>
    <row r="81" ht="20" customHeight="1" spans="1:16" x14ac:dyDescent="0.25">
      <c r="A81" s="57"/>
      <c r="B81" s="155" t="s">
        <v>159</v>
      </c>
      <c r="C81" s="155"/>
      <c r="D81" s="155"/>
      <c r="E81" s="155"/>
      <c r="F81" s="155"/>
      <c r="G81" s="155"/>
      <c r="H81" s="155"/>
      <c r="I81" s="155"/>
      <c r="J81" s="155"/>
      <c r="O81" s="165" t="s">
        <v>85</v>
      </c>
      <c r="P81" s="59"/>
    </row>
    <row r="82" spans="1:16" x14ac:dyDescent="0.25">
      <c r="A82" s="57"/>
      <c r="B82" s="166" t="s">
        <v>86</v>
      </c>
      <c r="C82" s="166" t="s">
        <v>87</v>
      </c>
      <c r="D82" s="167" t="s">
        <v>88</v>
      </c>
      <c r="E82" s="181" t="s">
        <v>103</v>
      </c>
      <c r="F82" s="182"/>
      <c r="G82" s="167" t="s">
        <v>90</v>
      </c>
      <c r="H82" s="167" t="s">
        <v>104</v>
      </c>
      <c r="I82" s="167" t="s">
        <v>92</v>
      </c>
      <c r="J82" s="168" t="s">
        <v>94</v>
      </c>
      <c r="K82" s="169" t="s">
        <v>95</v>
      </c>
      <c r="L82" s="169" t="s">
        <v>96</v>
      </c>
      <c r="M82" s="166" t="s">
        <v>97</v>
      </c>
      <c r="N82" s="166" t="s">
        <v>98</v>
      </c>
      <c r="O82" s="166" t="s">
        <v>99</v>
      </c>
      <c r="P82" s="59"/>
    </row>
    <row r="83" spans="1:16" x14ac:dyDescent="0.25">
      <c r="A83" s="57"/>
      <c r="B83" s="169"/>
      <c r="C83" s="169"/>
      <c r="D83" s="170"/>
      <c r="E83" s="183"/>
      <c r="F83" s="184"/>
      <c r="G83" s="170"/>
      <c r="H83" s="170"/>
      <c r="I83" s="170"/>
      <c r="J83" s="171"/>
      <c r="K83" s="169"/>
      <c r="L83" s="169"/>
      <c r="M83" s="169"/>
      <c r="N83" s="169"/>
      <c r="O83" s="169"/>
      <c r="P83" s="59"/>
    </row>
    <row r="84" ht="30" customHeight="1" spans="1:16" x14ac:dyDescent="0.25">
      <c r="A84" s="57"/>
      <c r="B84" s="172">
        <v>1</v>
      </c>
      <c r="C84" s="185" t="s">
        <v>157</v>
      </c>
      <c r="D84" s="172"/>
      <c r="E84" s="196"/>
      <c r="F84" s="197"/>
      <c r="G84" s="172"/>
      <c r="H84" s="172"/>
      <c r="I84" s="172"/>
      <c r="J84" s="174">
        <f>I84*H84</f>
        <v>0</v>
      </c>
      <c r="K84" s="175"/>
      <c r="L84" s="175"/>
      <c r="M84" s="175"/>
      <c r="N84" s="175"/>
      <c r="O84" s="175"/>
      <c r="P84" s="59"/>
    </row>
    <row r="85" ht="30" customHeight="1" spans="1:16" x14ac:dyDescent="0.25">
      <c r="A85" s="57"/>
      <c r="B85" s="172">
        <v>2</v>
      </c>
      <c r="C85" s="185" t="s">
        <v>157</v>
      </c>
      <c r="D85" s="172"/>
      <c r="E85" s="196"/>
      <c r="F85" s="197"/>
      <c r="G85" s="172"/>
      <c r="H85" s="172"/>
      <c r="I85" s="172"/>
      <c r="J85" s="174">
        <f>I85*H85</f>
        <v>0</v>
      </c>
      <c r="K85" s="175"/>
      <c r="L85" s="175"/>
      <c r="M85" s="175"/>
      <c r="N85" s="175"/>
      <c r="O85" s="175"/>
      <c r="P85" s="59"/>
    </row>
    <row r="86" ht="30" customHeight="1" spans="1:16" x14ac:dyDescent="0.25">
      <c r="A86" s="57"/>
      <c r="B86" s="172">
        <v>3</v>
      </c>
      <c r="C86" s="185" t="s">
        <v>157</v>
      </c>
      <c r="D86" s="172"/>
      <c r="E86" s="196"/>
      <c r="F86" s="197"/>
      <c r="G86" s="172"/>
      <c r="H86" s="172"/>
      <c r="I86" s="172"/>
      <c r="J86" s="174">
        <f>I86*H86</f>
        <v>0</v>
      </c>
      <c r="K86" s="175"/>
      <c r="L86" s="175"/>
      <c r="M86" s="175"/>
      <c r="N86" s="175"/>
      <c r="O86" s="175"/>
      <c r="P86" s="59"/>
    </row>
    <row r="87" ht="30" customHeight="1" spans="1:16" x14ac:dyDescent="0.25">
      <c r="A87" s="57"/>
      <c r="B87" s="206" t="s">
        <v>158</v>
      </c>
      <c r="C87" s="207"/>
      <c r="D87" s="207"/>
      <c r="E87" s="207"/>
      <c r="F87" s="207"/>
      <c r="G87" s="207"/>
      <c r="H87" s="207"/>
      <c r="I87" s="208"/>
      <c r="J87" s="209">
        <f>SUM(J84:J86)</f>
        <v>0</v>
      </c>
      <c r="K87" s="172" t="s">
        <v>79</v>
      </c>
      <c r="L87" s="172" t="s">
        <v>79</v>
      </c>
      <c r="M87" s="172" t="s">
        <v>79</v>
      </c>
      <c r="N87" s="172" t="s">
        <v>79</v>
      </c>
      <c r="O87" s="172" t="s">
        <v>79</v>
      </c>
      <c r="P87" s="59"/>
    </row>
    <row r="88" spans="1:16" x14ac:dyDescent="0.25">
      <c r="A88" s="57"/>
      <c r="P88" s="59"/>
    </row>
    <row r="89" ht="20" customHeight="1" spans="1:16" x14ac:dyDescent="0.25">
      <c r="A89" s="57"/>
      <c r="B89" s="155" t="s">
        <v>160</v>
      </c>
      <c r="C89" s="155"/>
      <c r="D89" s="155"/>
      <c r="E89" s="155"/>
      <c r="F89" s="155"/>
      <c r="G89" s="155"/>
      <c r="H89" s="155"/>
      <c r="I89" s="155"/>
      <c r="J89" s="155"/>
      <c r="O89" s="165" t="s">
        <v>85</v>
      </c>
      <c r="P89" s="59"/>
    </row>
    <row r="90" spans="1:16" x14ac:dyDescent="0.25">
      <c r="A90" s="57"/>
      <c r="B90" s="166" t="s">
        <v>86</v>
      </c>
      <c r="C90" s="166" t="s">
        <v>87</v>
      </c>
      <c r="D90" s="167" t="s">
        <v>88</v>
      </c>
      <c r="E90" s="181" t="s">
        <v>103</v>
      </c>
      <c r="F90" s="182"/>
      <c r="G90" s="167" t="s">
        <v>90</v>
      </c>
      <c r="H90" s="167" t="s">
        <v>104</v>
      </c>
      <c r="I90" s="167" t="s">
        <v>92</v>
      </c>
      <c r="J90" s="168" t="s">
        <v>94</v>
      </c>
      <c r="K90" s="169" t="s">
        <v>95</v>
      </c>
      <c r="L90" s="169" t="s">
        <v>96</v>
      </c>
      <c r="M90" s="166" t="s">
        <v>97</v>
      </c>
      <c r="N90" s="166" t="s">
        <v>98</v>
      </c>
      <c r="O90" s="166" t="s">
        <v>99</v>
      </c>
      <c r="P90" s="59"/>
    </row>
    <row r="91" spans="1:16" x14ac:dyDescent="0.25">
      <c r="A91" s="57"/>
      <c r="B91" s="169"/>
      <c r="C91" s="169"/>
      <c r="D91" s="170"/>
      <c r="E91" s="183"/>
      <c r="F91" s="184"/>
      <c r="G91" s="170"/>
      <c r="H91" s="170"/>
      <c r="I91" s="170"/>
      <c r="J91" s="171"/>
      <c r="K91" s="169"/>
      <c r="L91" s="169"/>
      <c r="M91" s="169"/>
      <c r="N91" s="169"/>
      <c r="O91" s="169"/>
      <c r="P91" s="59"/>
    </row>
    <row r="92" ht="30" customHeight="1" spans="1:16" x14ac:dyDescent="0.25">
      <c r="A92" s="57"/>
      <c r="B92" s="172">
        <v>1</v>
      </c>
      <c r="C92" s="185" t="s">
        <v>161</v>
      </c>
      <c r="D92" s="172"/>
      <c r="E92" s="196"/>
      <c r="F92" s="197"/>
      <c r="G92" s="172"/>
      <c r="H92" s="172"/>
      <c r="I92" s="172"/>
      <c r="J92" s="174">
        <f>I92*H92</f>
        <v>0</v>
      </c>
      <c r="K92" s="175"/>
      <c r="L92" s="175"/>
      <c r="M92" s="175"/>
      <c r="N92" s="175"/>
      <c r="O92" s="175"/>
      <c r="P92" s="59"/>
    </row>
    <row r="93" ht="30" customHeight="1" spans="1:16" x14ac:dyDescent="0.25">
      <c r="A93" s="57"/>
      <c r="B93" s="172">
        <v>2</v>
      </c>
      <c r="C93" s="185" t="s">
        <v>161</v>
      </c>
      <c r="D93" s="172"/>
      <c r="E93" s="196"/>
      <c r="F93" s="197"/>
      <c r="G93" s="172"/>
      <c r="H93" s="172"/>
      <c r="I93" s="172"/>
      <c r="J93" s="174">
        <f>I93*H93</f>
        <v>0</v>
      </c>
      <c r="K93" s="175"/>
      <c r="L93" s="175"/>
      <c r="M93" s="175"/>
      <c r="N93" s="175"/>
      <c r="O93" s="175"/>
      <c r="P93" s="59"/>
    </row>
    <row r="94" ht="30" customHeight="1" spans="1:16" x14ac:dyDescent="0.25">
      <c r="A94" s="57"/>
      <c r="B94" s="172">
        <v>3</v>
      </c>
      <c r="C94" s="185" t="s">
        <v>161</v>
      </c>
      <c r="D94" s="172"/>
      <c r="E94" s="196"/>
      <c r="F94" s="197"/>
      <c r="G94" s="172"/>
      <c r="H94" s="172"/>
      <c r="I94" s="172"/>
      <c r="J94" s="174">
        <f>I94*H94</f>
        <v>0</v>
      </c>
      <c r="K94" s="175"/>
      <c r="L94" s="175"/>
      <c r="M94" s="175"/>
      <c r="N94" s="175"/>
      <c r="O94" s="175"/>
      <c r="P94" s="59"/>
    </row>
    <row r="95" ht="33.75" customHeight="1" spans="1:16" x14ac:dyDescent="0.25">
      <c r="A95" s="57"/>
      <c r="B95" s="206" t="s">
        <v>162</v>
      </c>
      <c r="C95" s="207"/>
      <c r="D95" s="207"/>
      <c r="E95" s="207"/>
      <c r="F95" s="207"/>
      <c r="G95" s="207"/>
      <c r="H95" s="207"/>
      <c r="I95" s="208"/>
      <c r="J95" s="209">
        <f>SUM(J92:J94)</f>
        <v>0</v>
      </c>
      <c r="K95" s="172" t="s">
        <v>79</v>
      </c>
      <c r="L95" s="172" t="s">
        <v>79</v>
      </c>
      <c r="M95" s="172" t="s">
        <v>79</v>
      </c>
      <c r="N95" s="172" t="s">
        <v>79</v>
      </c>
      <c r="O95" s="172" t="s">
        <v>79</v>
      </c>
      <c r="P95" s="59"/>
    </row>
    <row r="96" spans="1:16" x14ac:dyDescent="0.25">
      <c r="A96" s="57"/>
      <c r="P96" s="59"/>
    </row>
    <row r="97" ht="20" customHeight="1" spans="1:16" x14ac:dyDescent="0.25">
      <c r="A97" s="57"/>
      <c r="B97" s="155" t="s">
        <v>163</v>
      </c>
      <c r="C97" s="155"/>
      <c r="D97" s="155"/>
      <c r="E97" s="155"/>
      <c r="F97" s="155"/>
      <c r="G97" s="155"/>
      <c r="H97" s="155"/>
      <c r="I97" s="155"/>
      <c r="J97" s="155"/>
      <c r="O97" s="165" t="s">
        <v>85</v>
      </c>
      <c r="P97" s="59"/>
    </row>
    <row r="98" spans="1:16" x14ac:dyDescent="0.25">
      <c r="A98" s="57"/>
      <c r="B98" s="166" t="s">
        <v>86</v>
      </c>
      <c r="C98" s="166" t="s">
        <v>87</v>
      </c>
      <c r="D98" s="167" t="s">
        <v>88</v>
      </c>
      <c r="E98" s="181" t="s">
        <v>103</v>
      </c>
      <c r="F98" s="182"/>
      <c r="G98" s="167" t="s">
        <v>90</v>
      </c>
      <c r="H98" s="167" t="s">
        <v>104</v>
      </c>
      <c r="I98" s="167" t="s">
        <v>92</v>
      </c>
      <c r="J98" s="167" t="s">
        <v>94</v>
      </c>
      <c r="K98" s="169" t="s">
        <v>95</v>
      </c>
      <c r="L98" s="169" t="s">
        <v>96</v>
      </c>
      <c r="M98" s="166" t="s">
        <v>97</v>
      </c>
      <c r="N98" s="166" t="s">
        <v>98</v>
      </c>
      <c r="O98" s="166" t="s">
        <v>99</v>
      </c>
      <c r="P98" s="59"/>
    </row>
    <row r="99" spans="1:16" x14ac:dyDescent="0.25">
      <c r="A99" s="57"/>
      <c r="B99" s="169"/>
      <c r="C99" s="169"/>
      <c r="D99" s="170"/>
      <c r="E99" s="183"/>
      <c r="F99" s="184"/>
      <c r="G99" s="170"/>
      <c r="H99" s="170"/>
      <c r="I99" s="170"/>
      <c r="J99" s="170"/>
      <c r="K99" s="169"/>
      <c r="L99" s="169"/>
      <c r="M99" s="169"/>
      <c r="N99" s="169"/>
      <c r="O99" s="169"/>
      <c r="P99" s="59"/>
    </row>
    <row r="100" ht="30" customHeight="1" spans="1:16" x14ac:dyDescent="0.25">
      <c r="A100" s="57"/>
      <c r="B100" s="172">
        <v>1</v>
      </c>
      <c r="C100" s="185" t="s">
        <v>57</v>
      </c>
      <c r="D100" s="172"/>
      <c r="E100" s="196"/>
      <c r="F100" s="197"/>
      <c r="G100" s="172"/>
      <c r="H100" s="172"/>
      <c r="I100" s="172"/>
      <c r="J100" s="215">
        <f>I100*H100</f>
        <v>0</v>
      </c>
      <c r="K100" s="175"/>
      <c r="L100" s="175"/>
      <c r="M100" s="175"/>
      <c r="N100" s="175"/>
      <c r="O100" s="175"/>
      <c r="P100" s="59"/>
    </row>
    <row r="101" ht="30" customHeight="1" spans="1:16" x14ac:dyDescent="0.25">
      <c r="A101" s="57"/>
      <c r="B101" s="172">
        <v>2</v>
      </c>
      <c r="C101" s="185" t="s">
        <v>57</v>
      </c>
      <c r="D101" s="172"/>
      <c r="E101" s="196"/>
      <c r="F101" s="197"/>
      <c r="G101" s="172"/>
      <c r="H101" s="172"/>
      <c r="I101" s="172"/>
      <c r="J101" s="215">
        <f>I101*H101</f>
        <v>0</v>
      </c>
      <c r="K101" s="175"/>
      <c r="L101" s="175"/>
      <c r="M101" s="175"/>
      <c r="N101" s="175"/>
      <c r="O101" s="175"/>
      <c r="P101" s="59"/>
    </row>
    <row r="102" ht="30" customHeight="1" spans="1:16" x14ac:dyDescent="0.25">
      <c r="A102" s="57"/>
      <c r="B102" s="172">
        <v>3</v>
      </c>
      <c r="C102" s="185" t="s">
        <v>57</v>
      </c>
      <c r="D102" s="172"/>
      <c r="E102" s="196"/>
      <c r="F102" s="197"/>
      <c r="G102" s="172"/>
      <c r="H102" s="172"/>
      <c r="I102" s="172"/>
      <c r="J102" s="215">
        <f>I102*H102</f>
        <v>0</v>
      </c>
      <c r="K102" s="175"/>
      <c r="L102" s="175"/>
      <c r="M102" s="175"/>
      <c r="N102" s="175"/>
      <c r="O102" s="175"/>
      <c r="P102" s="59"/>
    </row>
    <row r="103" ht="30" customHeight="1" spans="1:16" x14ac:dyDescent="0.25">
      <c r="A103" s="57"/>
      <c r="B103" s="206" t="s">
        <v>164</v>
      </c>
      <c r="C103" s="207"/>
      <c r="D103" s="207"/>
      <c r="E103" s="207"/>
      <c r="F103" s="207"/>
      <c r="G103" s="207"/>
      <c r="H103" s="207"/>
      <c r="I103" s="208"/>
      <c r="J103" s="216">
        <f>SUM(J100:J102)</f>
        <v>0</v>
      </c>
      <c r="K103" s="172" t="s">
        <v>79</v>
      </c>
      <c r="L103" s="172" t="s">
        <v>79</v>
      </c>
      <c r="M103" s="172" t="s">
        <v>79</v>
      </c>
      <c r="N103" s="172" t="s">
        <v>79</v>
      </c>
      <c r="O103" s="172" t="s">
        <v>79</v>
      </c>
      <c r="P103" s="59"/>
    </row>
    <row r="104" spans="1:16" x14ac:dyDescent="0.25">
      <c r="A104" s="57"/>
      <c r="P104" s="59"/>
    </row>
    <row r="105" ht="20" customHeight="1" spans="1:16" x14ac:dyDescent="0.25">
      <c r="A105" s="57"/>
      <c r="B105" s="155" t="s">
        <v>165</v>
      </c>
      <c r="C105" s="155"/>
      <c r="D105" s="155"/>
      <c r="E105" s="155"/>
      <c r="F105" s="155"/>
      <c r="G105" s="155"/>
      <c r="H105" s="155"/>
      <c r="I105" s="155"/>
      <c r="J105" s="155"/>
      <c r="O105" s="165" t="s">
        <v>85</v>
      </c>
      <c r="P105" s="59"/>
    </row>
    <row r="106" spans="1:16" x14ac:dyDescent="0.25">
      <c r="A106" s="57"/>
      <c r="B106" s="166" t="s">
        <v>86</v>
      </c>
      <c r="C106" s="166" t="s">
        <v>87</v>
      </c>
      <c r="D106" s="167" t="s">
        <v>88</v>
      </c>
      <c r="E106" s="181" t="s">
        <v>103</v>
      </c>
      <c r="F106" s="182"/>
      <c r="G106" s="167" t="s">
        <v>90</v>
      </c>
      <c r="H106" s="167" t="s">
        <v>104</v>
      </c>
      <c r="I106" s="167" t="s">
        <v>92</v>
      </c>
      <c r="J106" s="167" t="s">
        <v>94</v>
      </c>
      <c r="K106" s="169" t="s">
        <v>95</v>
      </c>
      <c r="L106" s="169" t="s">
        <v>96</v>
      </c>
      <c r="M106" s="166" t="s">
        <v>97</v>
      </c>
      <c r="N106" s="166" t="s">
        <v>98</v>
      </c>
      <c r="O106" s="166" t="s">
        <v>99</v>
      </c>
      <c r="P106" s="59"/>
    </row>
    <row r="107" spans="1:16" x14ac:dyDescent="0.25">
      <c r="A107" s="57"/>
      <c r="B107" s="169"/>
      <c r="C107" s="169"/>
      <c r="D107" s="170"/>
      <c r="E107" s="183"/>
      <c r="F107" s="184"/>
      <c r="G107" s="170"/>
      <c r="H107" s="170"/>
      <c r="I107" s="170"/>
      <c r="J107" s="170"/>
      <c r="K107" s="169"/>
      <c r="L107" s="169"/>
      <c r="M107" s="169"/>
      <c r="N107" s="169"/>
      <c r="O107" s="169"/>
      <c r="P107" s="59"/>
    </row>
    <row r="108" ht="30" customHeight="1" spans="1:16" x14ac:dyDescent="0.25">
      <c r="A108" s="57"/>
      <c r="B108" s="172">
        <v>1</v>
      </c>
      <c r="C108" s="185" t="s">
        <v>58</v>
      </c>
      <c r="D108" s="172"/>
      <c r="E108" s="196"/>
      <c r="F108" s="197"/>
      <c r="G108" s="172"/>
      <c r="H108" s="172"/>
      <c r="I108" s="172"/>
      <c r="J108" s="215">
        <f>I108*H108</f>
        <v>0</v>
      </c>
      <c r="K108" s="175"/>
      <c r="L108" s="175"/>
      <c r="M108" s="175"/>
      <c r="N108" s="175"/>
      <c r="O108" s="175"/>
      <c r="P108" s="59"/>
    </row>
    <row r="109" ht="30" customHeight="1" spans="1:16" x14ac:dyDescent="0.25">
      <c r="A109" s="57"/>
      <c r="B109" s="172">
        <v>2</v>
      </c>
      <c r="C109" s="185" t="s">
        <v>58</v>
      </c>
      <c r="D109" s="172"/>
      <c r="E109" s="196"/>
      <c r="F109" s="197"/>
      <c r="G109" s="172"/>
      <c r="H109" s="172"/>
      <c r="I109" s="172"/>
      <c r="J109" s="215">
        <f>I109*H109</f>
        <v>0</v>
      </c>
      <c r="K109" s="175"/>
      <c r="L109" s="175"/>
      <c r="M109" s="175"/>
      <c r="N109" s="175"/>
      <c r="O109" s="175"/>
      <c r="P109" s="59"/>
    </row>
    <row r="110" ht="30" customHeight="1" spans="1:16" x14ac:dyDescent="0.25">
      <c r="A110" s="57"/>
      <c r="B110" s="172">
        <v>3</v>
      </c>
      <c r="C110" s="185" t="s">
        <v>58</v>
      </c>
      <c r="D110" s="172"/>
      <c r="E110" s="196"/>
      <c r="F110" s="197"/>
      <c r="G110" s="172"/>
      <c r="H110" s="172"/>
      <c r="I110" s="172"/>
      <c r="J110" s="215">
        <f>I110*H110</f>
        <v>0</v>
      </c>
      <c r="K110" s="175"/>
      <c r="L110" s="175"/>
      <c r="M110" s="175"/>
      <c r="N110" s="175"/>
      <c r="O110" s="175"/>
      <c r="P110" s="59"/>
    </row>
    <row r="111" ht="30" customHeight="1" spans="1:16" x14ac:dyDescent="0.25">
      <c r="A111" s="57"/>
      <c r="B111" s="206" t="s">
        <v>166</v>
      </c>
      <c r="C111" s="207"/>
      <c r="D111" s="207"/>
      <c r="E111" s="207"/>
      <c r="F111" s="207"/>
      <c r="G111" s="207"/>
      <c r="H111" s="207"/>
      <c r="I111" s="208"/>
      <c r="J111" s="216">
        <f>SUM(J108:J110)</f>
        <v>0</v>
      </c>
      <c r="K111" s="172" t="s">
        <v>79</v>
      </c>
      <c r="L111" s="172" t="s">
        <v>79</v>
      </c>
      <c r="M111" s="172" t="s">
        <v>79</v>
      </c>
      <c r="N111" s="172" t="s">
        <v>79</v>
      </c>
      <c r="O111" s="172" t="s">
        <v>79</v>
      </c>
      <c r="P111" s="59"/>
    </row>
    <row r="112" spans="1:16" x14ac:dyDescent="0.25">
      <c r="A112" s="57"/>
      <c r="P112" s="59"/>
    </row>
    <row r="113" ht="20" customHeight="1" spans="1:16" x14ac:dyDescent="0.25">
      <c r="A113" s="57"/>
      <c r="B113" s="155" t="s">
        <v>167</v>
      </c>
      <c r="C113" s="155"/>
      <c r="D113" s="155"/>
      <c r="E113" s="155"/>
      <c r="F113" s="155"/>
      <c r="G113" s="155"/>
      <c r="H113" s="155"/>
      <c r="I113" s="155"/>
      <c r="J113" s="155"/>
      <c r="O113" s="165" t="s">
        <v>85</v>
      </c>
      <c r="P113" s="59"/>
    </row>
    <row r="114" spans="1:16" x14ac:dyDescent="0.25">
      <c r="A114" s="57"/>
      <c r="B114" s="166" t="s">
        <v>86</v>
      </c>
      <c r="C114" s="166" t="s">
        <v>87</v>
      </c>
      <c r="D114" s="167" t="s">
        <v>88</v>
      </c>
      <c r="E114" s="181" t="s">
        <v>103</v>
      </c>
      <c r="F114" s="182"/>
      <c r="G114" s="167" t="s">
        <v>90</v>
      </c>
      <c r="H114" s="167" t="s">
        <v>104</v>
      </c>
      <c r="I114" s="167" t="s">
        <v>92</v>
      </c>
      <c r="J114" s="167" t="s">
        <v>94</v>
      </c>
      <c r="K114" s="169" t="s">
        <v>95</v>
      </c>
      <c r="L114" s="169" t="s">
        <v>96</v>
      </c>
      <c r="M114" s="166" t="s">
        <v>97</v>
      </c>
      <c r="N114" s="166" t="s">
        <v>98</v>
      </c>
      <c r="O114" s="166" t="s">
        <v>99</v>
      </c>
      <c r="P114" s="59"/>
    </row>
    <row r="115" spans="1:16" x14ac:dyDescent="0.25">
      <c r="A115" s="57"/>
      <c r="B115" s="169"/>
      <c r="C115" s="169"/>
      <c r="D115" s="170"/>
      <c r="E115" s="183"/>
      <c r="F115" s="184"/>
      <c r="G115" s="170"/>
      <c r="H115" s="170"/>
      <c r="I115" s="170"/>
      <c r="J115" s="170"/>
      <c r="K115" s="169"/>
      <c r="L115" s="169"/>
      <c r="M115" s="169"/>
      <c r="N115" s="169"/>
      <c r="O115" s="169"/>
      <c r="P115" s="59"/>
    </row>
    <row r="116" ht="30" customHeight="1" spans="1:16" x14ac:dyDescent="0.25">
      <c r="A116" s="57"/>
      <c r="B116" s="172">
        <v>1</v>
      </c>
      <c r="C116" s="185" t="s">
        <v>59</v>
      </c>
      <c r="D116" s="172"/>
      <c r="E116" s="196"/>
      <c r="F116" s="197"/>
      <c r="G116" s="172"/>
      <c r="H116" s="172"/>
      <c r="I116" s="172"/>
      <c r="J116" s="215">
        <f>I116*H116</f>
        <v>0</v>
      </c>
      <c r="K116" s="175"/>
      <c r="L116" s="175"/>
      <c r="M116" s="175"/>
      <c r="N116" s="175"/>
      <c r="O116" s="175"/>
      <c r="P116" s="59"/>
    </row>
    <row r="117" ht="30" customHeight="1" spans="1:16" x14ac:dyDescent="0.25">
      <c r="A117" s="57"/>
      <c r="B117" s="172">
        <v>2</v>
      </c>
      <c r="C117" s="185" t="s">
        <v>59</v>
      </c>
      <c r="D117" s="172"/>
      <c r="E117" s="196"/>
      <c r="F117" s="197"/>
      <c r="G117" s="172"/>
      <c r="H117" s="172"/>
      <c r="I117" s="172"/>
      <c r="J117" s="215">
        <f>I117*H117</f>
        <v>0</v>
      </c>
      <c r="K117" s="175"/>
      <c r="L117" s="175"/>
      <c r="M117" s="175"/>
      <c r="N117" s="175"/>
      <c r="O117" s="175"/>
      <c r="P117" s="59"/>
    </row>
    <row r="118" ht="18" customHeight="1" spans="1:16" x14ac:dyDescent="0.25">
      <c r="A118" s="57"/>
      <c r="B118" s="172">
        <v>3</v>
      </c>
      <c r="C118" s="185" t="s">
        <v>59</v>
      </c>
      <c r="D118" s="172"/>
      <c r="E118" s="196"/>
      <c r="F118" s="197"/>
      <c r="G118" s="172"/>
      <c r="H118" s="172"/>
      <c r="I118" s="172"/>
      <c r="J118" s="215">
        <f>I118*H118</f>
        <v>0</v>
      </c>
      <c r="K118" s="175"/>
      <c r="L118" s="175"/>
      <c r="M118" s="175"/>
      <c r="N118" s="175"/>
      <c r="O118" s="175"/>
      <c r="P118" s="59"/>
    </row>
    <row r="119" spans="1:16" x14ac:dyDescent="0.25">
      <c r="A119" s="57"/>
      <c r="B119" s="206" t="s">
        <v>168</v>
      </c>
      <c r="C119" s="207"/>
      <c r="D119" s="207"/>
      <c r="E119" s="207"/>
      <c r="F119" s="207"/>
      <c r="G119" s="207"/>
      <c r="H119" s="207"/>
      <c r="I119" s="208"/>
      <c r="J119" s="216">
        <f>SUM(J116:J118)</f>
        <v>0</v>
      </c>
      <c r="K119" s="172" t="s">
        <v>79</v>
      </c>
      <c r="L119" s="172" t="s">
        <v>79</v>
      </c>
      <c r="M119" s="172" t="s">
        <v>79</v>
      </c>
      <c r="N119" s="172" t="s">
        <v>79</v>
      </c>
      <c r="O119" s="172" t="s">
        <v>79</v>
      </c>
      <c r="P119" s="59"/>
    </row>
    <row r="120" spans="1:16" x14ac:dyDescent="0.25">
      <c r="A120" s="57"/>
      <c r="P120" s="59"/>
    </row>
    <row r="121" spans="1:16" x14ac:dyDescent="0.25">
      <c r="A121" s="57"/>
      <c r="P121" s="59"/>
    </row>
    <row r="122" ht="20" customHeight="1" spans="1:16" x14ac:dyDescent="0.25">
      <c r="A122" s="57"/>
      <c r="B122" s="155" t="s">
        <v>169</v>
      </c>
      <c r="C122" s="155"/>
      <c r="D122" s="155"/>
      <c r="E122" s="155"/>
      <c r="F122" s="155"/>
      <c r="G122" s="155"/>
      <c r="H122" s="155"/>
      <c r="I122" s="155"/>
      <c r="J122" s="155"/>
      <c r="O122" s="165" t="s">
        <v>85</v>
      </c>
      <c r="P122" s="59"/>
    </row>
    <row r="123" spans="1:16" x14ac:dyDescent="0.25">
      <c r="A123" s="57"/>
      <c r="B123" s="166" t="s">
        <v>86</v>
      </c>
      <c r="C123" s="166" t="s">
        <v>87</v>
      </c>
      <c r="D123" s="167" t="s">
        <v>88</v>
      </c>
      <c r="E123" s="181" t="s">
        <v>103</v>
      </c>
      <c r="F123" s="182"/>
      <c r="G123" s="167" t="s">
        <v>90</v>
      </c>
      <c r="H123" s="167" t="s">
        <v>104</v>
      </c>
      <c r="I123" s="167" t="s">
        <v>92</v>
      </c>
      <c r="J123" s="168" t="s">
        <v>94</v>
      </c>
      <c r="K123" s="169" t="s">
        <v>95</v>
      </c>
      <c r="L123" s="169" t="s">
        <v>96</v>
      </c>
      <c r="M123" s="166" t="s">
        <v>97</v>
      </c>
      <c r="N123" s="166" t="s">
        <v>98</v>
      </c>
      <c r="O123" s="166" t="s">
        <v>99</v>
      </c>
      <c r="P123" s="59"/>
    </row>
    <row r="124" spans="1:16" x14ac:dyDescent="0.25">
      <c r="A124" s="57"/>
      <c r="B124" s="169"/>
      <c r="C124" s="169"/>
      <c r="D124" s="170"/>
      <c r="E124" s="183"/>
      <c r="F124" s="184"/>
      <c r="G124" s="170"/>
      <c r="H124" s="170"/>
      <c r="I124" s="170"/>
      <c r="J124" s="171"/>
      <c r="K124" s="169"/>
      <c r="L124" s="169"/>
      <c r="M124" s="169"/>
      <c r="N124" s="169"/>
      <c r="O124" s="169"/>
      <c r="P124" s="59"/>
    </row>
    <row r="125" ht="30" customHeight="1" spans="1:16" x14ac:dyDescent="0.25">
      <c r="A125" s="57"/>
      <c r="B125" s="172">
        <v>1</v>
      </c>
      <c r="C125" s="185" t="s">
        <v>60</v>
      </c>
      <c r="D125" s="190" t="s">
        <v>170</v>
      </c>
      <c r="E125" s="196"/>
      <c r="F125" s="197"/>
      <c r="G125" s="172"/>
      <c r="H125" s="172"/>
      <c r="I125" s="172"/>
      <c r="J125" s="174">
        <f>I125*H125</f>
        <v>0</v>
      </c>
      <c r="K125" s="175"/>
      <c r="L125" s="175"/>
      <c r="M125" s="175"/>
      <c r="N125" s="198"/>
      <c r="O125" s="195" t="s">
        <v>171</v>
      </c>
      <c r="P125" s="59"/>
    </row>
    <row r="126" ht="30" customHeight="1" spans="1:16" x14ac:dyDescent="0.25">
      <c r="A126" s="57"/>
      <c r="B126" s="172">
        <v>2</v>
      </c>
      <c r="C126" s="185" t="s">
        <v>60</v>
      </c>
      <c r="D126" s="172"/>
      <c r="E126" s="196"/>
      <c r="F126" s="197"/>
      <c r="G126" s="172"/>
      <c r="H126" s="172"/>
      <c r="I126" s="172"/>
      <c r="J126" s="174">
        <f>I126*H126</f>
        <v>0</v>
      </c>
      <c r="K126" s="175"/>
      <c r="L126" s="175"/>
      <c r="M126" s="175"/>
      <c r="N126" s="198"/>
      <c r="O126" s="195" t="s">
        <v>172</v>
      </c>
      <c r="P126" s="59"/>
    </row>
    <row r="127" ht="30" customHeight="1" spans="1:16" x14ac:dyDescent="0.25">
      <c r="A127" s="57"/>
      <c r="B127" s="172">
        <v>3</v>
      </c>
      <c r="C127" s="185" t="s">
        <v>60</v>
      </c>
      <c r="D127" s="172"/>
      <c r="E127" s="196"/>
      <c r="F127" s="197"/>
      <c r="G127" s="172"/>
      <c r="H127" s="172"/>
      <c r="I127" s="172"/>
      <c r="J127" s="174">
        <f>I127*H127</f>
        <v>0</v>
      </c>
      <c r="K127" s="175"/>
      <c r="L127" s="175"/>
      <c r="M127" s="175"/>
      <c r="N127" s="198"/>
      <c r="O127" s="195" t="s">
        <v>173</v>
      </c>
      <c r="P127" s="59"/>
    </row>
    <row r="128" ht="30" customHeight="1" spans="1:16" x14ac:dyDescent="0.25">
      <c r="A128" s="57"/>
      <c r="B128" s="206" t="s">
        <v>174</v>
      </c>
      <c r="C128" s="207"/>
      <c r="D128" s="207"/>
      <c r="E128" s="207"/>
      <c r="F128" s="207"/>
      <c r="G128" s="207"/>
      <c r="H128" s="207"/>
      <c r="I128" s="208"/>
      <c r="J128" s="209">
        <f>SUM(J125:J127)</f>
        <v>0</v>
      </c>
      <c r="K128" s="172" t="s">
        <v>79</v>
      </c>
      <c r="L128" s="172" t="s">
        <v>79</v>
      </c>
      <c r="M128" s="172" t="s">
        <v>79</v>
      </c>
      <c r="N128" s="172" t="s">
        <v>79</v>
      </c>
      <c r="O128" s="172" t="s">
        <v>79</v>
      </c>
      <c r="P128" s="59"/>
    </row>
    <row r="129" ht="30" customHeight="1" spans="1:16" x14ac:dyDescent="0.25">
      <c r="A129" s="57"/>
      <c r="B129" s="177" t="s">
        <v>175</v>
      </c>
      <c r="C129" s="178"/>
      <c r="D129" s="178"/>
      <c r="E129" s="178"/>
      <c r="F129" s="178"/>
      <c r="G129" s="178"/>
      <c r="H129" s="178"/>
      <c r="I129" s="179"/>
      <c r="J129" s="180">
        <f>SUM(J47,J55,J63,J71,J87,J95,J103,J111,J119,J128)</f>
        <v>200000</v>
      </c>
      <c r="K129" s="172" t="s">
        <v>79</v>
      </c>
      <c r="L129" s="172" t="s">
        <v>79</v>
      </c>
      <c r="M129" s="172" t="s">
        <v>79</v>
      </c>
      <c r="N129" s="172" t="s">
        <v>79</v>
      </c>
      <c r="O129" s="172" t="s">
        <v>79</v>
      </c>
      <c r="P129" s="59"/>
    </row>
    <row r="130" spans="1:16" x14ac:dyDescent="0.25">
      <c r="A130" s="57"/>
      <c r="P130" s="59"/>
    </row>
    <row r="131" spans="1:16" x14ac:dyDescent="0.25">
      <c r="A131" s="57"/>
      <c r="P131" s="59"/>
    </row>
    <row r="132" ht="20" customHeight="1" spans="1:16" x14ac:dyDescent="0.25">
      <c r="A132" s="57"/>
      <c r="B132" s="164" t="s">
        <v>176</v>
      </c>
      <c r="C132" s="164"/>
      <c r="D132" s="164"/>
      <c r="E132" s="164"/>
      <c r="F132" s="164"/>
      <c r="G132" s="164"/>
      <c r="H132" s="164"/>
      <c r="I132" s="164"/>
      <c r="J132" s="164"/>
      <c r="P132" s="59"/>
    </row>
    <row r="133" ht="20" customHeight="1" spans="1:16" x14ac:dyDescent="0.25">
      <c r="A133" s="57"/>
      <c r="B133" s="155" t="s">
        <v>177</v>
      </c>
      <c r="C133" s="155"/>
      <c r="D133" s="155"/>
      <c r="E133" s="155"/>
      <c r="F133" s="155"/>
      <c r="G133" s="155"/>
      <c r="H133" s="155"/>
      <c r="I133" s="155"/>
      <c r="J133" s="155"/>
      <c r="O133" s="165" t="s">
        <v>85</v>
      </c>
      <c r="P133" s="59"/>
    </row>
    <row r="134" ht="16.5" customHeight="1" spans="1:16" x14ac:dyDescent="0.25">
      <c r="A134" s="57"/>
      <c r="B134" s="167" t="s">
        <v>86</v>
      </c>
      <c r="C134" s="167" t="s">
        <v>87</v>
      </c>
      <c r="D134" s="167" t="s">
        <v>178</v>
      </c>
      <c r="E134" s="181" t="s">
        <v>103</v>
      </c>
      <c r="F134" s="182"/>
      <c r="G134" s="167" t="s">
        <v>90</v>
      </c>
      <c r="H134" s="167" t="s">
        <v>179</v>
      </c>
      <c r="I134" s="167" t="s">
        <v>92</v>
      </c>
      <c r="J134" s="168" t="s">
        <v>94</v>
      </c>
      <c r="K134" s="210" t="s">
        <v>95</v>
      </c>
      <c r="L134" s="210" t="s">
        <v>96</v>
      </c>
      <c r="M134" s="167" t="s">
        <v>97</v>
      </c>
      <c r="N134" s="167" t="s">
        <v>98</v>
      </c>
      <c r="O134" s="167" t="s">
        <v>99</v>
      </c>
      <c r="P134" s="59"/>
    </row>
    <row r="135" spans="1:16" x14ac:dyDescent="0.25">
      <c r="A135" s="57"/>
      <c r="B135" s="170"/>
      <c r="C135" s="170"/>
      <c r="D135" s="170"/>
      <c r="E135" s="183"/>
      <c r="F135" s="184"/>
      <c r="G135" s="170"/>
      <c r="H135" s="170"/>
      <c r="I135" s="170"/>
      <c r="J135" s="171"/>
      <c r="K135" s="211"/>
      <c r="L135" s="211"/>
      <c r="M135" s="170"/>
      <c r="N135" s="170"/>
      <c r="O135" s="170"/>
      <c r="P135" s="59"/>
    </row>
    <row r="136" ht="63.75" customHeight="1" spans="1:16" x14ac:dyDescent="0.25">
      <c r="A136" s="57"/>
      <c r="B136" s="172">
        <v>1</v>
      </c>
      <c r="C136" s="185" t="s">
        <v>62</v>
      </c>
      <c r="D136" s="186" t="s">
        <v>180</v>
      </c>
      <c r="E136" s="217" t="s">
        <v>181</v>
      </c>
      <c r="F136" s="218"/>
      <c r="G136" s="219" t="s">
        <v>182</v>
      </c>
      <c r="H136" s="220">
        <v>3</v>
      </c>
      <c r="I136" s="189">
        <v>130000</v>
      </c>
      <c r="J136" s="192">
        <f>I136*H136</f>
        <v>390000</v>
      </c>
      <c r="K136" s="221" t="s">
        <v>183</v>
      </c>
      <c r="L136" s="221" t="s">
        <v>184</v>
      </c>
      <c r="M136" s="219" t="s">
        <v>185</v>
      </c>
      <c r="N136" s="219" t="s">
        <v>121</v>
      </c>
      <c r="O136" s="195" t="s">
        <v>186</v>
      </c>
      <c r="P136" s="59"/>
    </row>
    <row r="137" ht="30" customHeight="1" spans="1:16" x14ac:dyDescent="0.25">
      <c r="A137" s="57"/>
      <c r="B137" s="172">
        <v>2</v>
      </c>
      <c r="C137" s="185" t="s">
        <v>62</v>
      </c>
      <c r="D137" s="172"/>
      <c r="E137" s="196"/>
      <c r="F137" s="197"/>
      <c r="G137" s="172"/>
      <c r="H137" s="172"/>
      <c r="I137" s="172"/>
      <c r="J137" s="174">
        <f>I137*H137</f>
        <v>0</v>
      </c>
      <c r="K137" s="175"/>
      <c r="L137" s="175"/>
      <c r="M137" s="175"/>
      <c r="N137" s="198"/>
      <c r="O137" s="195" t="s">
        <v>187</v>
      </c>
      <c r="P137" s="59"/>
    </row>
    <row r="138" ht="30" customHeight="1" spans="1:16" x14ac:dyDescent="0.25">
      <c r="A138" s="57"/>
      <c r="B138" s="172">
        <v>3</v>
      </c>
      <c r="C138" s="185" t="s">
        <v>62</v>
      </c>
      <c r="D138" s="172"/>
      <c r="E138" s="196"/>
      <c r="F138" s="197"/>
      <c r="G138" s="172"/>
      <c r="H138" s="172"/>
      <c r="I138" s="172"/>
      <c r="J138" s="174">
        <f>I138*H138</f>
        <v>0</v>
      </c>
      <c r="K138" s="175"/>
      <c r="L138" s="175"/>
      <c r="M138" s="175"/>
      <c r="N138" s="198"/>
      <c r="O138" s="195" t="s">
        <v>188</v>
      </c>
      <c r="P138" s="59"/>
    </row>
    <row r="139" ht="30" customHeight="1" spans="1:16" x14ac:dyDescent="0.25">
      <c r="A139" s="57"/>
      <c r="B139" s="177" t="s">
        <v>189</v>
      </c>
      <c r="C139" s="178"/>
      <c r="D139" s="178"/>
      <c r="E139" s="178"/>
      <c r="F139" s="178"/>
      <c r="G139" s="178"/>
      <c r="H139" s="178"/>
      <c r="I139" s="179"/>
      <c r="J139" s="180">
        <f>SUM(J136:J138)</f>
        <v>390000</v>
      </c>
      <c r="K139" s="172" t="s">
        <v>79</v>
      </c>
      <c r="L139" s="172" t="s">
        <v>79</v>
      </c>
      <c r="M139" s="172" t="s">
        <v>79</v>
      </c>
      <c r="N139" s="172" t="s">
        <v>79</v>
      </c>
      <c r="O139" s="172" t="s">
        <v>79</v>
      </c>
      <c r="P139" s="59"/>
    </row>
    <row r="140" spans="1:16" x14ac:dyDescent="0.25">
      <c r="A140" s="57"/>
      <c r="P140" s="59"/>
    </row>
    <row r="141" spans="1:16" x14ac:dyDescent="0.25">
      <c r="A141" s="57"/>
      <c r="P141" s="59"/>
    </row>
    <row r="142" ht="20" customHeight="1" spans="1:16" x14ac:dyDescent="0.25">
      <c r="A142" s="57"/>
      <c r="B142" s="155" t="s">
        <v>190</v>
      </c>
      <c r="C142" s="155"/>
      <c r="D142" s="155"/>
      <c r="E142" s="155"/>
      <c r="F142" s="155"/>
      <c r="G142" s="155"/>
      <c r="H142" s="155"/>
      <c r="I142" s="155"/>
      <c r="J142" s="155"/>
      <c r="O142" s="165" t="s">
        <v>85</v>
      </c>
      <c r="P142" s="59"/>
    </row>
    <row r="143" spans="1:16" x14ac:dyDescent="0.25">
      <c r="A143" s="57"/>
      <c r="B143" s="166" t="s">
        <v>86</v>
      </c>
      <c r="C143" s="166" t="s">
        <v>87</v>
      </c>
      <c r="D143" s="167" t="s">
        <v>178</v>
      </c>
      <c r="E143" s="181" t="s">
        <v>103</v>
      </c>
      <c r="F143" s="182"/>
      <c r="G143" s="167" t="s">
        <v>90</v>
      </c>
      <c r="H143" s="167" t="s">
        <v>179</v>
      </c>
      <c r="I143" s="167" t="s">
        <v>92</v>
      </c>
      <c r="J143" s="168" t="s">
        <v>94</v>
      </c>
      <c r="K143" s="169" t="s">
        <v>95</v>
      </c>
      <c r="L143" s="169" t="s">
        <v>96</v>
      </c>
      <c r="M143" s="166" t="s">
        <v>97</v>
      </c>
      <c r="N143" s="166" t="s">
        <v>98</v>
      </c>
      <c r="O143" s="166" t="s">
        <v>99</v>
      </c>
      <c r="P143" s="59"/>
    </row>
    <row r="144" spans="1:16" x14ac:dyDescent="0.25">
      <c r="A144" s="57"/>
      <c r="B144" s="169"/>
      <c r="C144" s="169"/>
      <c r="D144" s="170"/>
      <c r="E144" s="183"/>
      <c r="F144" s="184"/>
      <c r="G144" s="170"/>
      <c r="H144" s="170"/>
      <c r="I144" s="170"/>
      <c r="J144" s="171"/>
      <c r="K144" s="169"/>
      <c r="L144" s="169"/>
      <c r="M144" s="169"/>
      <c r="N144" s="169"/>
      <c r="O144" s="169"/>
      <c r="P144" s="59"/>
    </row>
    <row r="145" ht="61.5" customHeight="1" spans="1:16" x14ac:dyDescent="0.25">
      <c r="A145" s="57"/>
      <c r="B145" s="172">
        <v>1</v>
      </c>
      <c r="C145" s="185" t="s">
        <v>63</v>
      </c>
      <c r="D145" s="186" t="s">
        <v>191</v>
      </c>
      <c r="E145" s="222" t="s">
        <v>192</v>
      </c>
      <c r="F145" s="223"/>
      <c r="G145" s="219" t="s">
        <v>182</v>
      </c>
      <c r="H145" s="220">
        <v>3</v>
      </c>
      <c r="I145" s="189">
        <v>130000</v>
      </c>
      <c r="J145" s="192">
        <f>I145*H145</f>
        <v>390000</v>
      </c>
      <c r="K145" s="221" t="s">
        <v>183</v>
      </c>
      <c r="L145" s="221" t="s">
        <v>184</v>
      </c>
      <c r="M145" s="219" t="s">
        <v>185</v>
      </c>
      <c r="N145" s="219" t="s">
        <v>121</v>
      </c>
      <c r="O145" s="195" t="s">
        <v>186</v>
      </c>
      <c r="P145" s="59"/>
    </row>
    <row r="146" ht="18" customHeight="1" spans="1:16" x14ac:dyDescent="0.25">
      <c r="A146" s="57"/>
      <c r="B146" s="172">
        <v>2</v>
      </c>
      <c r="C146" s="185" t="s">
        <v>63</v>
      </c>
      <c r="D146" s="172"/>
      <c r="E146" s="196"/>
      <c r="F146" s="197"/>
      <c r="G146" s="172"/>
      <c r="H146" s="172"/>
      <c r="I146" s="172"/>
      <c r="J146" s="174">
        <f>I146*H146</f>
        <v>0</v>
      </c>
      <c r="K146" s="175"/>
      <c r="L146" s="175"/>
      <c r="M146" s="175"/>
      <c r="N146" s="198"/>
      <c r="O146" s="195" t="s">
        <v>187</v>
      </c>
      <c r="P146" s="59"/>
    </row>
    <row r="147" ht="18" customHeight="1" spans="1:16" x14ac:dyDescent="0.25">
      <c r="A147" s="57"/>
      <c r="B147" s="172">
        <v>3</v>
      </c>
      <c r="C147" s="185" t="s">
        <v>63</v>
      </c>
      <c r="D147" s="172"/>
      <c r="E147" s="196"/>
      <c r="F147" s="197"/>
      <c r="G147" s="172"/>
      <c r="H147" s="172"/>
      <c r="I147" s="172"/>
      <c r="J147" s="174">
        <f>I147*H147</f>
        <v>0</v>
      </c>
      <c r="K147" s="175"/>
      <c r="L147" s="175"/>
      <c r="M147" s="175"/>
      <c r="N147" s="198"/>
      <c r="O147" s="195" t="s">
        <v>188</v>
      </c>
      <c r="P147" s="59"/>
    </row>
    <row r="148" spans="1:16" x14ac:dyDescent="0.25">
      <c r="A148" s="57"/>
      <c r="B148" s="177" t="s">
        <v>189</v>
      </c>
      <c r="C148" s="178"/>
      <c r="D148" s="178"/>
      <c r="E148" s="178"/>
      <c r="F148" s="178"/>
      <c r="G148" s="178"/>
      <c r="H148" s="178"/>
      <c r="I148" s="179"/>
      <c r="J148" s="180">
        <f>SUM(J145:J147)</f>
        <v>390000</v>
      </c>
      <c r="K148" s="172" t="s">
        <v>79</v>
      </c>
      <c r="L148" s="172" t="s">
        <v>79</v>
      </c>
      <c r="M148" s="172" t="s">
        <v>79</v>
      </c>
      <c r="N148" s="172" t="s">
        <v>79</v>
      </c>
      <c r="O148" s="172" t="s">
        <v>79</v>
      </c>
      <c r="P148" s="59"/>
    </row>
    <row r="149" spans="1:16" x14ac:dyDescent="0.25">
      <c r="A149" s="57"/>
      <c r="P149" s="59"/>
    </row>
    <row r="150" ht="20" customHeight="1" spans="1:16" x14ac:dyDescent="0.25">
      <c r="A150" s="57"/>
      <c r="B150" s="164" t="s">
        <v>193</v>
      </c>
      <c r="C150" s="164"/>
      <c r="D150" s="164"/>
      <c r="E150" s="164"/>
      <c r="F150" s="164"/>
      <c r="G150" s="164"/>
      <c r="H150" s="164"/>
      <c r="I150" s="164"/>
      <c r="J150" s="164"/>
      <c r="P150" s="59"/>
    </row>
    <row r="151" ht="20" customHeight="1" spans="1:16" x14ac:dyDescent="0.25">
      <c r="A151" s="57"/>
      <c r="B151" s="155" t="s">
        <v>194</v>
      </c>
      <c r="C151" s="155"/>
      <c r="D151" s="155"/>
      <c r="E151" s="155"/>
      <c r="F151" s="155"/>
      <c r="G151" s="155"/>
      <c r="H151" s="155"/>
      <c r="I151" s="155"/>
      <c r="J151" s="155"/>
      <c r="O151" s="165" t="s">
        <v>85</v>
      </c>
      <c r="P151" s="59"/>
    </row>
    <row r="152" spans="1:16" x14ac:dyDescent="0.25">
      <c r="A152" s="57"/>
      <c r="B152" s="166" t="s">
        <v>86</v>
      </c>
      <c r="C152" s="166" t="s">
        <v>87</v>
      </c>
      <c r="D152" s="167" t="s">
        <v>88</v>
      </c>
      <c r="E152" s="181" t="s">
        <v>103</v>
      </c>
      <c r="F152" s="224"/>
      <c r="G152" s="182"/>
      <c r="H152" s="167" t="s">
        <v>104</v>
      </c>
      <c r="I152" s="167" t="s">
        <v>92</v>
      </c>
      <c r="J152" s="168" t="s">
        <v>94</v>
      </c>
      <c r="K152" s="169" t="s">
        <v>195</v>
      </c>
      <c r="L152" s="169" t="s">
        <v>196</v>
      </c>
      <c r="M152" s="166" t="s">
        <v>97</v>
      </c>
      <c r="N152" s="166" t="s">
        <v>98</v>
      </c>
      <c r="O152" s="166" t="s">
        <v>99</v>
      </c>
      <c r="P152" s="59"/>
    </row>
    <row r="153" spans="1:16" x14ac:dyDescent="0.25">
      <c r="A153" s="57"/>
      <c r="B153" s="169"/>
      <c r="C153" s="169"/>
      <c r="D153" s="170"/>
      <c r="E153" s="183"/>
      <c r="F153" s="225"/>
      <c r="G153" s="184"/>
      <c r="H153" s="170"/>
      <c r="I153" s="170"/>
      <c r="J153" s="171"/>
      <c r="K153" s="169"/>
      <c r="L153" s="169"/>
      <c r="M153" s="169"/>
      <c r="N153" s="169"/>
      <c r="O153" s="169"/>
      <c r="P153" s="59"/>
    </row>
    <row r="154" ht="61.5" customHeight="1" spans="1:16" x14ac:dyDescent="0.25">
      <c r="A154" s="57"/>
      <c r="B154" s="172">
        <v>1</v>
      </c>
      <c r="C154" s="185" t="s">
        <v>66</v>
      </c>
      <c r="D154" s="226" t="s">
        <v>197</v>
      </c>
      <c r="E154" s="227" t="s">
        <v>198</v>
      </c>
      <c r="F154" s="228"/>
      <c r="G154" s="229"/>
      <c r="H154" s="194">
        <v>3</v>
      </c>
      <c r="I154" s="194">
        <v>7000</v>
      </c>
      <c r="J154" s="192">
        <f>I154*H154</f>
        <v>21000</v>
      </c>
      <c r="K154" s="221" t="s">
        <v>183</v>
      </c>
      <c r="L154" s="221" t="s">
        <v>184</v>
      </c>
      <c r="M154" s="219" t="s">
        <v>199</v>
      </c>
      <c r="N154" s="194" t="s">
        <v>111</v>
      </c>
      <c r="O154" s="195" t="s">
        <v>200</v>
      </c>
      <c r="P154" s="59"/>
    </row>
    <row r="155" ht="30" customHeight="1" spans="1:16" x14ac:dyDescent="0.25">
      <c r="A155" s="57"/>
      <c r="B155" s="172">
        <v>2</v>
      </c>
      <c r="C155" s="185" t="s">
        <v>66</v>
      </c>
      <c r="D155" s="172"/>
      <c r="E155" s="196"/>
      <c r="F155" s="230"/>
      <c r="G155" s="197"/>
      <c r="H155" s="172"/>
      <c r="I155" s="172"/>
      <c r="J155" s="174">
        <f>I155*H155</f>
        <v>0</v>
      </c>
      <c r="K155" s="175"/>
      <c r="L155" s="175"/>
      <c r="M155" s="175"/>
      <c r="N155" s="198"/>
      <c r="O155" s="195" t="s">
        <v>201</v>
      </c>
      <c r="P155" s="59"/>
    </row>
    <row r="156" ht="30" customHeight="1" spans="1:16" x14ac:dyDescent="0.25">
      <c r="A156" s="57"/>
      <c r="B156" s="172">
        <v>3</v>
      </c>
      <c r="C156" s="185" t="s">
        <v>66</v>
      </c>
      <c r="D156" s="172"/>
      <c r="E156" s="196"/>
      <c r="F156" s="230"/>
      <c r="G156" s="197"/>
      <c r="H156" s="172"/>
      <c r="I156" s="172"/>
      <c r="J156" s="174">
        <f>I156*H156</f>
        <v>0</v>
      </c>
      <c r="K156" s="175"/>
      <c r="L156" s="175"/>
      <c r="M156" s="175"/>
      <c r="N156" s="198"/>
      <c r="O156" s="195" t="s">
        <v>202</v>
      </c>
      <c r="P156" s="59"/>
    </row>
    <row r="157" ht="30" customHeight="1" spans="1:16" x14ac:dyDescent="0.25">
      <c r="A157" s="57"/>
      <c r="B157" s="177" t="s">
        <v>203</v>
      </c>
      <c r="C157" s="178"/>
      <c r="D157" s="178"/>
      <c r="E157" s="178"/>
      <c r="F157" s="178"/>
      <c r="G157" s="178"/>
      <c r="H157" s="178"/>
      <c r="I157" s="179"/>
      <c r="J157" s="180">
        <f>SUM(J154:J156)</f>
        <v>21000</v>
      </c>
      <c r="K157" s="172" t="s">
        <v>79</v>
      </c>
      <c r="L157" s="172" t="s">
        <v>79</v>
      </c>
      <c r="M157" s="172" t="s">
        <v>79</v>
      </c>
      <c r="N157" s="172" t="s">
        <v>79</v>
      </c>
      <c r="O157" s="172" t="s">
        <v>79</v>
      </c>
      <c r="P157" s="59"/>
    </row>
    <row r="158" spans="1:16" x14ac:dyDescent="0.25">
      <c r="A158" s="57"/>
      <c r="P158" s="59"/>
    </row>
    <row r="159" spans="1:16" x14ac:dyDescent="0.25">
      <c r="A159" s="57"/>
      <c r="P159" s="59"/>
    </row>
    <row r="160" ht="20" customHeight="1" spans="1:16" x14ac:dyDescent="0.25">
      <c r="A160" s="57"/>
      <c r="B160" s="164" t="s">
        <v>204</v>
      </c>
      <c r="C160" s="164"/>
      <c r="D160" s="164"/>
      <c r="E160" s="164"/>
      <c r="F160" s="164"/>
      <c r="G160" s="164"/>
      <c r="H160" s="164"/>
      <c r="I160" s="164"/>
      <c r="J160" s="164"/>
      <c r="O160" s="165"/>
      <c r="P160" s="59"/>
    </row>
    <row r="161" ht="20" customHeight="1" spans="1:16" x14ac:dyDescent="0.25">
      <c r="A161" s="57"/>
      <c r="B161" s="155" t="s">
        <v>205</v>
      </c>
      <c r="C161" s="155"/>
      <c r="D161" s="155"/>
      <c r="E161" s="155"/>
      <c r="F161" s="155"/>
      <c r="G161" s="155"/>
      <c r="H161" s="155"/>
      <c r="I161" s="155"/>
      <c r="J161" s="155"/>
      <c r="O161" s="165" t="s">
        <v>85</v>
      </c>
      <c r="P161" s="59"/>
    </row>
    <row r="162" spans="1:16" x14ac:dyDescent="0.25">
      <c r="A162" s="57"/>
      <c r="B162" s="166" t="s">
        <v>86</v>
      </c>
      <c r="C162" s="166" t="s">
        <v>87</v>
      </c>
      <c r="D162" s="181" t="s">
        <v>88</v>
      </c>
      <c r="E162" s="224"/>
      <c r="F162" s="224"/>
      <c r="G162" s="182"/>
      <c r="H162" s="181" t="s">
        <v>206</v>
      </c>
      <c r="I162" s="182"/>
      <c r="J162" s="168" t="s">
        <v>94</v>
      </c>
      <c r="K162" s="169" t="s">
        <v>195</v>
      </c>
      <c r="L162" s="169" t="s">
        <v>196</v>
      </c>
      <c r="M162" s="166" t="s">
        <v>97</v>
      </c>
      <c r="N162" s="166" t="s">
        <v>98</v>
      </c>
      <c r="O162" s="166" t="s">
        <v>99</v>
      </c>
      <c r="P162" s="59"/>
    </row>
    <row r="163" spans="1:16" x14ac:dyDescent="0.25">
      <c r="A163" s="57"/>
      <c r="B163" s="169"/>
      <c r="C163" s="169"/>
      <c r="D163" s="183"/>
      <c r="E163" s="225"/>
      <c r="F163" s="225"/>
      <c r="G163" s="184"/>
      <c r="H163" s="183"/>
      <c r="I163" s="184"/>
      <c r="J163" s="171"/>
      <c r="K163" s="169"/>
      <c r="L163" s="169"/>
      <c r="M163" s="169"/>
      <c r="N163" s="169"/>
      <c r="O163" s="169"/>
      <c r="P163" s="59"/>
    </row>
    <row r="164" ht="30" customHeight="1" spans="1:16" x14ac:dyDescent="0.25">
      <c r="A164" s="57"/>
      <c r="B164" s="172">
        <v>1</v>
      </c>
      <c r="C164" s="185" t="s">
        <v>71</v>
      </c>
      <c r="D164" s="196"/>
      <c r="E164" s="230"/>
      <c r="F164" s="230"/>
      <c r="G164" s="197"/>
      <c r="H164" s="196"/>
      <c r="I164" s="197"/>
      <c r="J164" s="174">
        <f>I164*H164</f>
        <v>0</v>
      </c>
      <c r="K164" s="175"/>
      <c r="L164" s="175"/>
      <c r="M164" s="175"/>
      <c r="N164" s="175"/>
      <c r="O164" s="175"/>
      <c r="P164" s="59"/>
    </row>
    <row r="165" ht="30" customHeight="1" spans="1:16" x14ac:dyDescent="0.25">
      <c r="A165" s="57"/>
      <c r="B165" s="172">
        <v>2</v>
      </c>
      <c r="C165" s="185" t="s">
        <v>71</v>
      </c>
      <c r="D165" s="196"/>
      <c r="E165" s="230"/>
      <c r="F165" s="230"/>
      <c r="G165" s="197"/>
      <c r="H165" s="196"/>
      <c r="I165" s="197"/>
      <c r="J165" s="174">
        <f>I165*H165</f>
        <v>0</v>
      </c>
      <c r="K165" s="175"/>
      <c r="L165" s="175"/>
      <c r="M165" s="175"/>
      <c r="N165" s="175"/>
      <c r="O165" s="175"/>
      <c r="P165" s="59"/>
    </row>
    <row r="166" ht="30" customHeight="1" spans="1:16" x14ac:dyDescent="0.25">
      <c r="A166" s="57"/>
      <c r="B166" s="172">
        <v>3</v>
      </c>
      <c r="C166" s="185" t="s">
        <v>71</v>
      </c>
      <c r="D166" s="196"/>
      <c r="E166" s="230"/>
      <c r="F166" s="230"/>
      <c r="G166" s="197"/>
      <c r="H166" s="196"/>
      <c r="I166" s="197"/>
      <c r="J166" s="174">
        <f>I166*H166</f>
        <v>0</v>
      </c>
      <c r="K166" s="175"/>
      <c r="L166" s="175"/>
      <c r="M166" s="175"/>
      <c r="N166" s="175"/>
      <c r="O166" s="175"/>
      <c r="P166" s="59"/>
    </row>
    <row r="167" ht="30" customHeight="1" spans="1:16" x14ac:dyDescent="0.25">
      <c r="A167" s="57"/>
      <c r="B167" s="177" t="s">
        <v>207</v>
      </c>
      <c r="C167" s="178"/>
      <c r="D167" s="178"/>
      <c r="E167" s="178"/>
      <c r="F167" s="178"/>
      <c r="G167" s="178"/>
      <c r="H167" s="178"/>
      <c r="I167" s="179"/>
      <c r="J167" s="180">
        <f>SUM(J164:J166)</f>
        <v>0</v>
      </c>
      <c r="K167" s="172" t="s">
        <v>79</v>
      </c>
      <c r="L167" s="172" t="s">
        <v>79</v>
      </c>
      <c r="M167" s="172" t="s">
        <v>79</v>
      </c>
      <c r="N167" s="172" t="s">
        <v>79</v>
      </c>
      <c r="O167" s="172" t="s">
        <v>79</v>
      </c>
      <c r="P167" s="59"/>
    </row>
    <row r="168" spans="1:16" x14ac:dyDescent="0.25">
      <c r="A168" s="57"/>
      <c r="P168" s="59"/>
    </row>
    <row r="169" spans="1:16" x14ac:dyDescent="0.25">
      <c r="A169" s="57"/>
      <c r="P169" s="59"/>
    </row>
    <row r="170" ht="20" customHeight="1" spans="1:16" x14ac:dyDescent="0.25">
      <c r="A170" s="57"/>
      <c r="B170" s="164" t="s">
        <v>208</v>
      </c>
      <c r="C170" s="164"/>
      <c r="D170" s="164"/>
      <c r="E170" s="164"/>
      <c r="F170" s="164"/>
      <c r="G170" s="164"/>
      <c r="H170" s="164"/>
      <c r="I170" s="164"/>
      <c r="J170" s="164"/>
      <c r="O170" s="165"/>
      <c r="P170" s="59"/>
    </row>
    <row r="171" ht="20" customHeight="1" spans="1:16" x14ac:dyDescent="0.25">
      <c r="A171" s="57"/>
      <c r="B171" s="155" t="s">
        <v>209</v>
      </c>
      <c r="C171" s="155"/>
      <c r="D171" s="155"/>
      <c r="E171" s="155"/>
      <c r="F171" s="155"/>
      <c r="G171" s="155"/>
      <c r="H171" s="155"/>
      <c r="I171" s="155"/>
      <c r="J171" s="155"/>
      <c r="O171" s="165" t="s">
        <v>85</v>
      </c>
      <c r="P171" s="59"/>
    </row>
    <row r="172" ht="16.5" customHeight="1" spans="1:16" x14ac:dyDescent="0.25">
      <c r="A172" s="57"/>
      <c r="B172" s="166" t="s">
        <v>86</v>
      </c>
      <c r="C172" s="166" t="s">
        <v>87</v>
      </c>
      <c r="D172" s="167" t="s">
        <v>88</v>
      </c>
      <c r="E172" s="166" t="s">
        <v>103</v>
      </c>
      <c r="F172" s="166"/>
      <c r="G172" s="167" t="s">
        <v>90</v>
      </c>
      <c r="H172" s="167" t="s">
        <v>104</v>
      </c>
      <c r="I172" s="167" t="s">
        <v>92</v>
      </c>
      <c r="J172" s="168" t="s">
        <v>94</v>
      </c>
      <c r="K172" s="169" t="s">
        <v>195</v>
      </c>
      <c r="L172" s="169" t="s">
        <v>196</v>
      </c>
      <c r="M172" s="166" t="s">
        <v>97</v>
      </c>
      <c r="N172" s="166" t="s">
        <v>98</v>
      </c>
      <c r="O172" s="166" t="s">
        <v>99</v>
      </c>
      <c r="P172" s="59"/>
    </row>
    <row r="173" spans="1:16" x14ac:dyDescent="0.25">
      <c r="A173" s="57"/>
      <c r="B173" s="169"/>
      <c r="C173" s="169"/>
      <c r="D173" s="170"/>
      <c r="E173" s="166"/>
      <c r="F173" s="166"/>
      <c r="G173" s="170"/>
      <c r="H173" s="170"/>
      <c r="I173" s="170"/>
      <c r="J173" s="171"/>
      <c r="K173" s="169"/>
      <c r="L173" s="169"/>
      <c r="M173" s="169"/>
      <c r="N173" s="169"/>
      <c r="O173" s="169"/>
      <c r="P173" s="59"/>
    </row>
    <row r="174" ht="30" customHeight="1" spans="1:16" x14ac:dyDescent="0.25">
      <c r="A174" s="57"/>
      <c r="B174" s="172">
        <v>1</v>
      </c>
      <c r="C174" s="185" t="s">
        <v>73</v>
      </c>
      <c r="D174" s="172"/>
      <c r="E174" s="172"/>
      <c r="F174" s="172"/>
      <c r="G174" s="175"/>
      <c r="H174" s="172"/>
      <c r="I174" s="172"/>
      <c r="J174" s="174">
        <f>I174*H174</f>
        <v>0</v>
      </c>
      <c r="K174" s="175"/>
      <c r="L174" s="175"/>
      <c r="M174" s="175"/>
      <c r="N174" s="198"/>
      <c r="O174" s="195" t="s">
        <v>210</v>
      </c>
      <c r="P174" s="59"/>
    </row>
    <row r="175" ht="30" customHeight="1" spans="1:16" x14ac:dyDescent="0.25">
      <c r="A175" s="57"/>
      <c r="B175" s="172">
        <v>2</v>
      </c>
      <c r="C175" s="185" t="s">
        <v>73</v>
      </c>
      <c r="D175" s="172"/>
      <c r="E175" s="172"/>
      <c r="F175" s="172"/>
      <c r="G175" s="175"/>
      <c r="H175" s="172"/>
      <c r="I175" s="172"/>
      <c r="J175" s="174">
        <f>I175*H175</f>
        <v>0</v>
      </c>
      <c r="K175" s="175"/>
      <c r="L175" s="175"/>
      <c r="M175" s="175"/>
      <c r="N175" s="198"/>
      <c r="O175" s="195" t="s">
        <v>211</v>
      </c>
      <c r="P175" s="59"/>
    </row>
    <row r="176" ht="30" customHeight="1" spans="1:16" x14ac:dyDescent="0.25">
      <c r="A176" s="57"/>
      <c r="B176" s="172">
        <v>3</v>
      </c>
      <c r="C176" s="185" t="s">
        <v>73</v>
      </c>
      <c r="D176" s="172"/>
      <c r="E176" s="172"/>
      <c r="F176" s="172"/>
      <c r="G176" s="175"/>
      <c r="H176" s="172"/>
      <c r="I176" s="172"/>
      <c r="J176" s="174">
        <f>I176*H176</f>
        <v>0</v>
      </c>
      <c r="K176" s="175"/>
      <c r="L176" s="175"/>
      <c r="M176" s="175"/>
      <c r="N176" s="198"/>
      <c r="O176" s="195" t="s">
        <v>212</v>
      </c>
      <c r="P176" s="59"/>
    </row>
    <row r="177" ht="30" customHeight="1" spans="1:16" x14ac:dyDescent="0.25">
      <c r="A177" s="57"/>
      <c r="B177" s="177" t="s">
        <v>213</v>
      </c>
      <c r="C177" s="178"/>
      <c r="D177" s="178"/>
      <c r="E177" s="178"/>
      <c r="F177" s="178"/>
      <c r="G177" s="178"/>
      <c r="H177" s="178"/>
      <c r="I177" s="179"/>
      <c r="J177" s="180">
        <f>SUM(J174:J176)</f>
        <v>0</v>
      </c>
      <c r="K177" s="172" t="s">
        <v>79</v>
      </c>
      <c r="L177" s="172" t="s">
        <v>79</v>
      </c>
      <c r="M177" s="172" t="s">
        <v>79</v>
      </c>
      <c r="N177" s="172" t="s">
        <v>79</v>
      </c>
      <c r="O177" s="172" t="s">
        <v>79</v>
      </c>
      <c r="P177" s="59"/>
    </row>
    <row r="178" spans="1:16" x14ac:dyDescent="0.25">
      <c r="A178" s="57"/>
      <c r="P178" s="59"/>
    </row>
    <row r="179" spans="1:16" x14ac:dyDescent="0.25">
      <c r="A179" s="57"/>
      <c r="P179" s="59"/>
    </row>
    <row r="180" ht="20" customHeight="1" spans="1:16" x14ac:dyDescent="0.25">
      <c r="A180" s="57"/>
      <c r="B180" s="164" t="s">
        <v>214</v>
      </c>
      <c r="C180" s="164"/>
      <c r="D180" s="164"/>
      <c r="E180" s="164"/>
      <c r="F180" s="164"/>
      <c r="G180" s="164"/>
      <c r="H180" s="164"/>
      <c r="I180" s="164"/>
      <c r="J180" s="164"/>
      <c r="O180" s="165"/>
      <c r="P180" s="59"/>
    </row>
    <row r="181" ht="16.5" customHeight="1" spans="1:16" x14ac:dyDescent="0.25">
      <c r="A181" s="57"/>
      <c r="B181" s="166" t="s">
        <v>86</v>
      </c>
      <c r="C181" s="166" t="s">
        <v>87</v>
      </c>
      <c r="D181" s="167" t="s">
        <v>88</v>
      </c>
      <c r="E181" s="166" t="s">
        <v>103</v>
      </c>
      <c r="F181" s="166"/>
      <c r="G181" s="167" t="s">
        <v>90</v>
      </c>
      <c r="H181" s="167" t="s">
        <v>104</v>
      </c>
      <c r="I181" s="167" t="s">
        <v>92</v>
      </c>
      <c r="J181" s="167" t="s">
        <v>94</v>
      </c>
      <c r="K181" s="169" t="s">
        <v>195</v>
      </c>
      <c r="L181" s="169" t="s">
        <v>196</v>
      </c>
      <c r="M181" s="166" t="s">
        <v>97</v>
      </c>
      <c r="N181" s="166" t="s">
        <v>98</v>
      </c>
      <c r="O181" s="166" t="s">
        <v>99</v>
      </c>
      <c r="P181" s="59"/>
    </row>
    <row r="182" spans="1:16" x14ac:dyDescent="0.25">
      <c r="A182" s="57"/>
      <c r="B182" s="169"/>
      <c r="C182" s="169"/>
      <c r="D182" s="170"/>
      <c r="E182" s="166"/>
      <c r="F182" s="166"/>
      <c r="G182" s="170"/>
      <c r="H182" s="170"/>
      <c r="I182" s="170"/>
      <c r="J182" s="170"/>
      <c r="K182" s="169"/>
      <c r="L182" s="169"/>
      <c r="M182" s="169"/>
      <c r="N182" s="169"/>
      <c r="O182" s="169"/>
      <c r="P182" s="59"/>
    </row>
    <row r="183" ht="30" customHeight="1" spans="1:16" x14ac:dyDescent="0.25">
      <c r="A183" s="57"/>
      <c r="B183" s="172">
        <v>1</v>
      </c>
      <c r="C183" s="185" t="s">
        <v>75</v>
      </c>
      <c r="D183" s="172"/>
      <c r="E183" s="172"/>
      <c r="F183" s="172"/>
      <c r="G183" s="175"/>
      <c r="H183" s="172"/>
      <c r="I183" s="172"/>
      <c r="J183" s="215">
        <f>I183*H183</f>
        <v>0</v>
      </c>
      <c r="K183" s="175"/>
      <c r="L183" s="175"/>
      <c r="M183" s="175"/>
      <c r="N183" s="175"/>
      <c r="O183" s="175"/>
      <c r="P183" s="59"/>
    </row>
    <row r="184" ht="30" customHeight="1" spans="1:16" x14ac:dyDescent="0.25">
      <c r="A184" s="57"/>
      <c r="B184" s="172">
        <v>2</v>
      </c>
      <c r="C184" s="185" t="s">
        <v>76</v>
      </c>
      <c r="D184" s="172"/>
      <c r="E184" s="172"/>
      <c r="F184" s="172"/>
      <c r="G184" s="175"/>
      <c r="H184" s="172"/>
      <c r="I184" s="172"/>
      <c r="J184" s="215">
        <f>I184*H184</f>
        <v>0</v>
      </c>
      <c r="K184" s="175"/>
      <c r="L184" s="175"/>
      <c r="M184" s="175"/>
      <c r="N184" s="175"/>
      <c r="O184" s="175"/>
      <c r="P184" s="59"/>
    </row>
    <row r="185" ht="30" customHeight="1" spans="1:16" x14ac:dyDescent="0.25">
      <c r="A185" s="57"/>
      <c r="B185" s="172">
        <v>3</v>
      </c>
      <c r="C185" s="185" t="s">
        <v>77</v>
      </c>
      <c r="D185" s="172"/>
      <c r="E185" s="172"/>
      <c r="F185" s="172"/>
      <c r="G185" s="175"/>
      <c r="H185" s="172"/>
      <c r="I185" s="172"/>
      <c r="J185" s="215">
        <f>I185*H185</f>
        <v>0</v>
      </c>
      <c r="K185" s="175"/>
      <c r="L185" s="175"/>
      <c r="M185" s="175"/>
      <c r="N185" s="175"/>
      <c r="O185" s="175"/>
      <c r="P185" s="59"/>
    </row>
    <row r="186" ht="30" customHeight="1" spans="1:16" x14ac:dyDescent="0.25">
      <c r="A186" s="57"/>
      <c r="B186" s="177" t="s">
        <v>215</v>
      </c>
      <c r="C186" s="178"/>
      <c r="D186" s="178"/>
      <c r="E186" s="178"/>
      <c r="F186" s="178"/>
      <c r="G186" s="178"/>
      <c r="H186" s="178"/>
      <c r="I186" s="179"/>
      <c r="J186" s="231">
        <f>SUM(J183:J185)</f>
        <v>0</v>
      </c>
      <c r="K186" s="172" t="s">
        <v>79</v>
      </c>
      <c r="L186" s="172" t="s">
        <v>79</v>
      </c>
      <c r="M186" s="172" t="s">
        <v>79</v>
      </c>
      <c r="N186" s="172" t="s">
        <v>79</v>
      </c>
      <c r="O186" s="172" t="s">
        <v>79</v>
      </c>
      <c r="P186" s="59"/>
    </row>
    <row r="187" spans="1:16" x14ac:dyDescent="0.25">
      <c r="A187" s="156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8"/>
    </row>
  </sheetData>
  <sheetProtection selectLockedCells="1"/>
  <mergeCells count="326">
    <mergeCell ref="B5:O5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B16:I16"/>
    <mergeCell ref="E21:F22"/>
    <mergeCell ref="B21:B22"/>
    <mergeCell ref="C21:C22"/>
    <mergeCell ref="D21:D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E23:F23"/>
    <mergeCell ref="E24:F24"/>
    <mergeCell ref="E25:F25"/>
    <mergeCell ref="C26:I26"/>
    <mergeCell ref="E27:F27"/>
    <mergeCell ref="E28:F28"/>
    <mergeCell ref="E29:F29"/>
    <mergeCell ref="C30:I30"/>
    <mergeCell ref="E31:F31"/>
    <mergeCell ref="E32:F32"/>
    <mergeCell ref="E33:F33"/>
    <mergeCell ref="C34:I34"/>
    <mergeCell ref="E35:F35"/>
    <mergeCell ref="E36:F36"/>
    <mergeCell ref="E37:F37"/>
    <mergeCell ref="C38:I38"/>
    <mergeCell ref="E39:F39"/>
    <mergeCell ref="E40:F40"/>
    <mergeCell ref="E41:F41"/>
    <mergeCell ref="C42:I42"/>
    <mergeCell ref="E43:F43"/>
    <mergeCell ref="E44:F44"/>
    <mergeCell ref="E45:F45"/>
    <mergeCell ref="C46:I46"/>
    <mergeCell ref="B47:I47"/>
    <mergeCell ref="E50:F51"/>
    <mergeCell ref="B50:B51"/>
    <mergeCell ref="C50:C51"/>
    <mergeCell ref="D50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E52:F52"/>
    <mergeCell ref="E53:F53"/>
    <mergeCell ref="E54:F54"/>
    <mergeCell ref="B55:I55"/>
    <mergeCell ref="E58:F59"/>
    <mergeCell ref="B58:B59"/>
    <mergeCell ref="C58:C59"/>
    <mergeCell ref="D58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E60:F60"/>
    <mergeCell ref="E61:F61"/>
    <mergeCell ref="E62:F62"/>
    <mergeCell ref="B63:I63"/>
    <mergeCell ref="E66:F67"/>
    <mergeCell ref="B66:B67"/>
    <mergeCell ref="C66:C67"/>
    <mergeCell ref="D66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E68:F68"/>
    <mergeCell ref="E69:F69"/>
    <mergeCell ref="E70:F70"/>
    <mergeCell ref="B71:I71"/>
    <mergeCell ref="E74:F75"/>
    <mergeCell ref="B74:B75"/>
    <mergeCell ref="C74:C75"/>
    <mergeCell ref="D74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E76:F76"/>
    <mergeCell ref="E77:F77"/>
    <mergeCell ref="E78:F78"/>
    <mergeCell ref="B79:I79"/>
    <mergeCell ref="E82:F83"/>
    <mergeCell ref="B82:B83"/>
    <mergeCell ref="C82:C83"/>
    <mergeCell ref="D82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E84:F84"/>
    <mergeCell ref="E85:F85"/>
    <mergeCell ref="E86:F86"/>
    <mergeCell ref="B87:I87"/>
    <mergeCell ref="E90:F91"/>
    <mergeCell ref="B90:B91"/>
    <mergeCell ref="C90:C91"/>
    <mergeCell ref="D90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E92:F92"/>
    <mergeCell ref="E93:F93"/>
    <mergeCell ref="E94:F94"/>
    <mergeCell ref="B95:I95"/>
    <mergeCell ref="E98:F99"/>
    <mergeCell ref="B98:B99"/>
    <mergeCell ref="C98:C99"/>
    <mergeCell ref="D98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E100:F100"/>
    <mergeCell ref="E101:F101"/>
    <mergeCell ref="E102:F102"/>
    <mergeCell ref="B103:I103"/>
    <mergeCell ref="E106:F107"/>
    <mergeCell ref="B106:B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E108:F108"/>
    <mergeCell ref="E109:F109"/>
    <mergeCell ref="E110:F110"/>
    <mergeCell ref="B111:I111"/>
    <mergeCell ref="E114:F115"/>
    <mergeCell ref="B114:B115"/>
    <mergeCell ref="C114:C115"/>
    <mergeCell ref="D114:D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E116:F116"/>
    <mergeCell ref="E117:F117"/>
    <mergeCell ref="E118:F118"/>
    <mergeCell ref="B119:I119"/>
    <mergeCell ref="E123:F124"/>
    <mergeCell ref="B123:B124"/>
    <mergeCell ref="C123:C124"/>
    <mergeCell ref="D123:D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E125:F125"/>
    <mergeCell ref="E126:F126"/>
    <mergeCell ref="E127:F127"/>
    <mergeCell ref="B128:I128"/>
    <mergeCell ref="B129:I129"/>
    <mergeCell ref="E134:F135"/>
    <mergeCell ref="B134:B135"/>
    <mergeCell ref="C134:C135"/>
    <mergeCell ref="D134:D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E136:F136"/>
    <mergeCell ref="E137:F137"/>
    <mergeCell ref="E138:F138"/>
    <mergeCell ref="B139:I139"/>
    <mergeCell ref="E143:F144"/>
    <mergeCell ref="B143:B144"/>
    <mergeCell ref="C143:C144"/>
    <mergeCell ref="D143:D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E145:F145"/>
    <mergeCell ref="E146:F146"/>
    <mergeCell ref="E147:F147"/>
    <mergeCell ref="B148:I148"/>
    <mergeCell ref="E152:G153"/>
    <mergeCell ref="B152:B153"/>
    <mergeCell ref="C152:C153"/>
    <mergeCell ref="D152:D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E154:G154"/>
    <mergeCell ref="E155:G155"/>
    <mergeCell ref="E156:G156"/>
    <mergeCell ref="B157:I157"/>
    <mergeCell ref="D162:G163"/>
    <mergeCell ref="H162:I163"/>
    <mergeCell ref="B162:B163"/>
    <mergeCell ref="C162:C163"/>
    <mergeCell ref="J162:J163"/>
    <mergeCell ref="K162:K163"/>
    <mergeCell ref="L162:L163"/>
    <mergeCell ref="M162:M163"/>
    <mergeCell ref="N162:N163"/>
    <mergeCell ref="O162:O163"/>
    <mergeCell ref="D164:G164"/>
    <mergeCell ref="H164:I164"/>
    <mergeCell ref="D165:G165"/>
    <mergeCell ref="H165:I165"/>
    <mergeCell ref="D166:G166"/>
    <mergeCell ref="H166:I166"/>
    <mergeCell ref="B167:I167"/>
    <mergeCell ref="E172:F173"/>
    <mergeCell ref="B172:B173"/>
    <mergeCell ref="C172:C173"/>
    <mergeCell ref="D172:D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E174:F174"/>
    <mergeCell ref="E175:F175"/>
    <mergeCell ref="E176:F176"/>
    <mergeCell ref="B177:I177"/>
    <mergeCell ref="E181:F182"/>
    <mergeCell ref="B181:B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E183:F183"/>
    <mergeCell ref="E184:F184"/>
    <mergeCell ref="E185:F185"/>
    <mergeCell ref="B186:I186"/>
  </mergeCells>
  <dataValidations count="12">
    <dataValidation type="list" allowBlank="1" showInputMessage="1" showErrorMessage="1" sqref="N125:N127">
      <formula1>"계좌이체,카드결제"</formula1>
    </dataValidation>
    <dataValidation type="list" allowBlank="1" showInputMessage="1" showErrorMessage="1" sqref="N136:N138">
      <formula1>"계좌이체,카드결제"</formula1>
    </dataValidation>
    <dataValidation type="list" allowBlank="1" showInputMessage="1" showErrorMessage="1" sqref="N145:N147">
      <formula1>"계좌이체,카드결제"</formula1>
    </dataValidation>
    <dataValidation type="list" allowBlank="1" showInputMessage="1" showErrorMessage="1" sqref="N155:N156">
      <formula1>"계좌이체,카드결제"</formula1>
    </dataValidation>
    <dataValidation type="list" allowBlank="1" showInputMessage="1" showErrorMessage="1" sqref="N174:N176">
      <formula1>"계좌이체,카드결제"</formula1>
    </dataValidation>
    <dataValidation type="list" allowBlank="1" showInputMessage="1" showErrorMessage="1" sqref="N23:N25">
      <formula1>"계좌이체,카드결제"</formula1>
    </dataValidation>
    <dataValidation type="list" allowBlank="1" showInputMessage="1" showErrorMessage="1" sqref="N27:N29">
      <formula1>"계좌이체,카드결제"</formula1>
    </dataValidation>
    <dataValidation type="list" allowBlank="1" showInputMessage="1" showErrorMessage="1" sqref="N31:N33">
      <formula1>"계좌이체,카드결제"</formula1>
    </dataValidation>
    <dataValidation type="list" allowBlank="1" showInputMessage="1" showErrorMessage="1" sqref="N35:N37">
      <formula1>"계좌이체,카드결제"</formula1>
    </dataValidation>
    <dataValidation type="list" allowBlank="1" showInputMessage="1" showErrorMessage="1" sqref="N39:N41">
      <formula1>"계좌이체,카드결제"</formula1>
    </dataValidation>
    <dataValidation type="list" allowBlank="1" showInputMessage="1" showErrorMessage="1" sqref="N43:N45">
      <formula1>"계좌이체,카드결제"</formula1>
    </dataValidation>
    <dataValidation type="list" allowBlank="1" showInputMessage="1" showErrorMessage="1" sqref="N68:N70">
      <formula1>"계좌이체,카드결제"</formula1>
    </dataValidation>
  </dataValidations>
  <pageMargins left="0.7" right="0.7" top="0.75" bottom="0.75" header="0.3" footer="0.3"/>
  <pageSetup paperSize="9" orientation="portrait" horizontalDpi="4294967295" verticalDpi="0" scale="47" fitToWidth="1" fitToHeight="0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6" customWidth="1"/>
    <col min="2" max="2" width="18" customWidth="1"/>
    <col min="3" max="3" width="26" customWidth="1"/>
    <col min="4" max="4" width="14" customWidth="1"/>
    <col min="5" max="6" width="6" customWidth="1"/>
    <col min="7" max="7" width="11" customWidth="1"/>
    <col min="8" max="10" width="12" customWidth="1"/>
    <col min="11" max="11" width="16" customWidth="1"/>
    <col min="12" max="13" width="10" customWidth="1"/>
  </cols>
  <sheetData>
    <row r="1" spans="1:13" x14ac:dyDescent="0.25">
      <c r="A1" s="232" t="s">
        <v>82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</row>
    <row r="3" spans="1:13" x14ac:dyDescent="0.25">
      <c r="A3" s="233"/>
      <c r="B3" s="234" t="s">
        <v>216</v>
      </c>
      <c r="C3" s="233"/>
      <c r="D3" s="233"/>
      <c r="E3" s="233"/>
      <c r="F3" s="233"/>
      <c r="G3" s="233"/>
      <c r="H3" s="235">
        <v>0</v>
      </c>
      <c r="I3" s="233"/>
      <c r="J3" s="233"/>
      <c r="K3" s="233"/>
      <c r="L3" s="233"/>
      <c r="M3" s="233"/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보고서 표지</vt:lpstr>
      <vt:lpstr>사업비 사용 총괄표</vt:lpstr>
      <vt:lpstr>세부비목별 집행내역서</vt:lpstr>
      <vt:lpstr>세부비목별 집행내역(자동)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김종범</cp:lastModifiedBy>
  <cp:lastPrinted>2017-11-24T11:50:50Z</cp:lastPrinted>
  <dcterms:created xsi:type="dcterms:W3CDTF">2017-11-24T08:01:29Z</dcterms:created>
  <dcterms:modified xsi:type="dcterms:W3CDTF">2026-06-06T04:45:35Z</dcterms:modified>
</cp:coreProperties>
</file>